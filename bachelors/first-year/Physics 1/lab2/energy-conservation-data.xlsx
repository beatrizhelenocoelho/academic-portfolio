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315"/>
  <workbookPr filterPrivacy="1"/>
  <mc:AlternateContent xmlns:mc="http://schemas.openxmlformats.org/markup-compatibility/2006">
    <mc:Choice Requires="x15">
      <x15ac:absPath xmlns:x15ac="http://schemas.microsoft.com/office/spreadsheetml/2010/11/ac" url="/Users/carolinabaltazar/Downloads/"/>
    </mc:Choice>
  </mc:AlternateContent>
  <bookViews>
    <workbookView xWindow="0" yWindow="0" windowWidth="28800" windowHeight="18000" activeTab="2"/>
  </bookViews>
  <sheets>
    <sheet name="Medições da Roda de Maxwell" sheetId="3" r:id="rId1"/>
    <sheet name="Tempo de Queda" sheetId="1" r:id="rId2"/>
    <sheet name="Tempo de passagem" sheetId="2" r:id="rId3"/>
  </sheets>
  <definedNames>
    <definedName name="MASSA">'Medições da Roda de Maxwell'!$B$4</definedName>
    <definedName name="Raio_eixo">'Medições da Roda de Maxwell'!$B$7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8" i="2" l="1"/>
  <c r="L9" i="2"/>
  <c r="L10" i="2"/>
  <c r="L11" i="2"/>
  <c r="L12" i="2"/>
  <c r="L13" i="2"/>
  <c r="L14" i="2"/>
  <c r="L15" i="2"/>
  <c r="L16" i="2"/>
  <c r="L7" i="2"/>
  <c r="K8" i="2"/>
  <c r="K9" i="2"/>
  <c r="K10" i="2"/>
  <c r="K11" i="2"/>
  <c r="K12" i="2"/>
  <c r="K13" i="2"/>
  <c r="K14" i="2"/>
  <c r="K15" i="2"/>
  <c r="K16" i="2"/>
  <c r="K7" i="2"/>
  <c r="G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H7" i="1"/>
  <c r="J8" i="2"/>
  <c r="J9" i="2"/>
  <c r="J10" i="2"/>
  <c r="J11" i="2"/>
  <c r="J12" i="2"/>
  <c r="J13" i="2"/>
  <c r="J14" i="2"/>
  <c r="J15" i="2"/>
  <c r="J16" i="2"/>
  <c r="J7" i="2"/>
  <c r="I8" i="2"/>
  <c r="I9" i="2"/>
  <c r="I10" i="2"/>
  <c r="I11" i="2"/>
  <c r="I12" i="2"/>
  <c r="I13" i="2"/>
  <c r="I14" i="2"/>
  <c r="I15" i="2"/>
  <c r="I16" i="2"/>
  <c r="I7" i="2"/>
  <c r="M6" i="2"/>
  <c r="I6" i="1"/>
</calcChain>
</file>

<file path=xl/sharedStrings.xml><?xml version="1.0" encoding="utf-8"?>
<sst xmlns="http://schemas.openxmlformats.org/spreadsheetml/2006/main" count="52" uniqueCount="38">
  <si>
    <r>
      <t xml:space="preserve">Erro( </t>
    </r>
    <r>
      <rPr>
        <b/>
        <i/>
        <sz val="11"/>
        <color theme="1"/>
        <rFont val="Calibri"/>
        <family val="2"/>
        <scheme val="minor"/>
      </rPr>
      <t xml:space="preserve">s) / </t>
    </r>
    <r>
      <rPr>
        <b/>
        <sz val="11"/>
        <color theme="1"/>
        <rFont val="Calibri"/>
        <family val="2"/>
        <scheme val="minor"/>
      </rPr>
      <t>m</t>
    </r>
  </si>
  <si>
    <t xml:space="preserve">Valores experimentais </t>
  </si>
  <si>
    <r>
      <t xml:space="preserve">Medição do intervalo de tempo </t>
    </r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Calibri"/>
        <family val="2"/>
        <scheme val="minor"/>
      </rPr>
      <t xml:space="preserve">t de passagem do eixo da roda </t>
    </r>
  </si>
  <si>
    <t>Δt / s</t>
  </si>
  <si>
    <t>Y</t>
  </si>
  <si>
    <t>t / s</t>
  </si>
  <si>
    <t>Erro(Δt) / s</t>
  </si>
  <si>
    <r>
      <t>Erro( v) / ms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</si>
  <si>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X (tempo)</t>
  </si>
  <si>
    <t>Y(velocidade)</t>
  </si>
  <si>
    <t xml:space="preserve">         </t>
  </si>
  <si>
    <t xml:space="preserve">           </t>
  </si>
  <si>
    <t>Incluir aqui os Gráficos</t>
  </si>
  <si>
    <t>Modelo</t>
  </si>
  <si>
    <t>beta</t>
  </si>
  <si>
    <t>c</t>
  </si>
  <si>
    <t xml:space="preserve"> s(t) / m</t>
  </si>
  <si>
    <t>Massa</t>
  </si>
  <si>
    <t>Raio R1</t>
  </si>
  <si>
    <t>Raio R2</t>
  </si>
  <si>
    <t>Calculo de Iz</t>
  </si>
  <si>
    <t>Data</t>
  </si>
  <si>
    <t>Turno</t>
  </si>
  <si>
    <t>Grupo</t>
  </si>
  <si>
    <t>Parametros de Ajuste</t>
  </si>
  <si>
    <t>Diferença</t>
  </si>
  <si>
    <t>Soma</t>
  </si>
  <si>
    <t>Medição do Tempo de Queda</t>
  </si>
  <si>
    <t>s(t) / m</t>
  </si>
  <si>
    <r>
      <t>v(t) / ms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</si>
  <si>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Raio eixo</t>
  </si>
  <si>
    <r>
      <t xml:space="preserve">(os valores acima são um </t>
    </r>
    <r>
      <rPr>
        <b/>
        <sz val="11"/>
        <color theme="1"/>
        <rFont val="Calibri"/>
        <family val="2"/>
        <scheme val="minor"/>
      </rPr>
      <t>exemplo!)</t>
    </r>
  </si>
  <si>
    <r>
      <t xml:space="preserve"> t / s</t>
    </r>
    <r>
      <rPr>
        <sz val="11"/>
        <color theme="1"/>
        <rFont val="Calibri"/>
        <family val="2"/>
        <scheme val="minor"/>
      </rPr>
      <t xml:space="preserve">  </t>
    </r>
  </si>
  <si>
    <r>
      <t>(Usar os mesmos valores de tempo da experiencia anterior</t>
    </r>
    <r>
      <rPr>
        <b/>
        <sz val="11"/>
        <color theme="1"/>
        <rFont val="Calibri"/>
        <family val="2"/>
        <scheme val="minor"/>
      </rPr>
      <t>)</t>
    </r>
  </si>
  <si>
    <t>( indicar sempre as unidades)</t>
  </si>
  <si>
    <t>0.005</t>
  </si>
  <si>
    <t>Azul - valores experimentais</t>
  </si>
  <si>
    <t xml:space="preserve">Vermelho - modelo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</si>
</sst>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2" borderId="8" xfId="0" applyFont="1" applyFill="1" applyBorder="1"/>
    <xf numFmtId="0" fontId="0" fillId="0" borderId="7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6" fillId="0" borderId="0" xfId="0" applyFont="1"/>
    <xf numFmtId="0" fontId="0" fillId="0" borderId="0" xfId="0" applyAlignment="1">
      <alignment horizontal="center"/>
    </xf>
    <xf numFmtId="0" fontId="0" fillId="0" borderId="9" xfId="0" applyBorder="1"/>
    <xf numFmtId="0" fontId="1" fillId="2" borderId="10" xfId="0" applyFont="1" applyFill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2" borderId="9" xfId="0" applyFont="1" applyFill="1" applyBorder="1"/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28692925352852"/>
          <c:y val="0.116613665878592"/>
          <c:w val="0.83944356087935"/>
          <c:h val="0.7122071082104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'Tempo de Queda'!$E$6</c:f>
              <c:strCache>
                <c:ptCount val="1"/>
                <c:pt idx="0">
                  <c:v> s(t) / m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'Tempo de Queda'!$D$7:$D$16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Queda'!$E$7:$E$16</c:f>
              <c:numCache>
                <c:formatCode>General</c:formatCode>
                <c:ptCount val="10"/>
                <c:pt idx="0">
                  <c:v>0.3</c:v>
                </c:pt>
                <c:pt idx="1">
                  <c:v>0.25</c:v>
                </c:pt>
                <c:pt idx="2">
                  <c:v>0.2</c:v>
                </c:pt>
                <c:pt idx="3">
                  <c:v>0.15</c:v>
                </c:pt>
                <c:pt idx="4">
                  <c:v>0.1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'Tempo de Queda'!$G$6</c:f>
              <c:strCache>
                <c:ptCount val="1"/>
                <c:pt idx="0">
                  <c:v>Modelo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'Tempo de Queda'!$D$7:$D$16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Queda'!$G$7:$G$16</c:f>
              <c:numCache>
                <c:formatCode>General</c:formatCode>
                <c:ptCount val="10"/>
                <c:pt idx="0">
                  <c:v>0.231884131448502</c:v>
                </c:pt>
                <c:pt idx="1">
                  <c:v>0.189465085164191</c:v>
                </c:pt>
                <c:pt idx="2">
                  <c:v>0.153548442094273</c:v>
                </c:pt>
                <c:pt idx="3">
                  <c:v>0.124929905435647</c:v>
                </c:pt>
                <c:pt idx="4">
                  <c:v>0.0828548887128069</c:v>
                </c:pt>
                <c:pt idx="5">
                  <c:v>0.268273024127569</c:v>
                </c:pt>
                <c:pt idx="6">
                  <c:v>0.30270510485071</c:v>
                </c:pt>
                <c:pt idx="7">
                  <c:v>0.341427846900166</c:v>
                </c:pt>
                <c:pt idx="8">
                  <c:v>0.373619852196931</c:v>
                </c:pt>
                <c:pt idx="9">
                  <c:v>0.0427588419953553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26208864"/>
        <c:axId val="-426606640"/>
      </c:scatterChart>
      <c:valAx>
        <c:axId val="-42620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26606640"/>
        <c:crosses val="autoZero"/>
        <c:crossBetween val="midCat"/>
      </c:valAx>
      <c:valAx>
        <c:axId val="-42660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2620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Aceleração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38740943071744"/>
          <c:y val="0.167434184265926"/>
          <c:w val="0.839043245620476"/>
          <c:h val="0.5739782749953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'Tempo de passagem'!$I$6</c:f>
              <c:strCache>
                <c:ptCount val="1"/>
                <c:pt idx="0">
                  <c:v>v(t) / ms-1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'Tempo de passagem'!$D$7:$D$16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passagem'!$I$7:$I$16</c:f>
              <c:numCache>
                <c:formatCode>General</c:formatCode>
                <c:ptCount val="10"/>
                <c:pt idx="0">
                  <c:v>0.108333333333333</c:v>
                </c:pt>
                <c:pt idx="1">
                  <c:v>0.0981132075471698</c:v>
                </c:pt>
                <c:pt idx="2">
                  <c:v>0.0896551724137931</c:v>
                </c:pt>
                <c:pt idx="3">
                  <c:v>0.08</c:v>
                </c:pt>
                <c:pt idx="4">
                  <c:v>0.0658227848101266</c:v>
                </c:pt>
                <c:pt idx="5">
                  <c:v>0.115555555555556</c:v>
                </c:pt>
                <c:pt idx="6">
                  <c:v>0.126829268292683</c:v>
                </c:pt>
                <c:pt idx="7">
                  <c:v>0.13</c:v>
                </c:pt>
                <c:pt idx="8">
                  <c:v>0.13</c:v>
                </c:pt>
                <c:pt idx="9">
                  <c:v>0.0450997398091934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'Tempo de passagem'!$K$6</c:f>
              <c:strCache>
                <c:ptCount val="1"/>
                <c:pt idx="0">
                  <c:v>Modelo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'Tempo de passagem'!$D$7:$D$16</c:f>
              <c:numCache>
                <c:formatCode>General</c:formatCode>
                <c:ptCount val="10"/>
                <c:pt idx="0">
                  <c:v>5.079</c:v>
                </c:pt>
                <c:pt idx="1">
                  <c:v>4.591</c:v>
                </c:pt>
                <c:pt idx="2">
                  <c:v>4.133</c:v>
                </c:pt>
                <c:pt idx="3">
                  <c:v>3.728</c:v>
                </c:pt>
                <c:pt idx="4">
                  <c:v>3.036</c:v>
                </c:pt>
                <c:pt idx="5">
                  <c:v>5.463</c:v>
                </c:pt>
                <c:pt idx="6">
                  <c:v>5.803</c:v>
                </c:pt>
                <c:pt idx="7">
                  <c:v>6.163</c:v>
                </c:pt>
                <c:pt idx="8">
                  <c:v>6.447</c:v>
                </c:pt>
                <c:pt idx="9">
                  <c:v>2.181</c:v>
                </c:pt>
              </c:numCache>
            </c:numRef>
          </c:xVal>
          <c:yVal>
            <c:numRef>
              <c:f>'Tempo de passagem'!$K$7:$K$16</c:f>
              <c:numCache>
                <c:formatCode>General</c:formatCode>
                <c:ptCount val="10"/>
                <c:pt idx="0">
                  <c:v>0.0913109397316407</c:v>
                </c:pt>
                <c:pt idx="1">
                  <c:v>0.082537610613893</c:v>
                </c:pt>
                <c:pt idx="2">
                  <c:v>0.0743036254992855</c:v>
                </c:pt>
                <c:pt idx="3">
                  <c:v>0.0670224814568924</c:v>
                </c:pt>
                <c:pt idx="4">
                  <c:v>0.0545816131177911</c:v>
                </c:pt>
                <c:pt idx="5">
                  <c:v>0.0982145429718356</c:v>
                </c:pt>
                <c:pt idx="6">
                  <c:v>0.104327108340758</c:v>
                </c:pt>
                <c:pt idx="7">
                  <c:v>0.110799236378441</c:v>
                </c:pt>
                <c:pt idx="8">
                  <c:v>0.115905026274835</c:v>
                </c:pt>
                <c:pt idx="9">
                  <c:v>0.0392103090282946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19996208"/>
        <c:axId val="-462027232"/>
      </c:scatterChart>
      <c:valAx>
        <c:axId val="-41999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62027232"/>
        <c:crosses val="autoZero"/>
        <c:crossBetween val="midCat"/>
      </c:valAx>
      <c:valAx>
        <c:axId val="-46202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-41999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19243</xdr:colOff>
      <xdr:row>5</xdr:row>
      <xdr:rowOff>1</xdr:rowOff>
    </xdr:from>
    <xdr:to>
      <xdr:col>18</xdr:col>
      <xdr:colOff>48105</xdr:colOff>
      <xdr:row>23</xdr:row>
      <xdr:rowOff>130463</xdr:rowOff>
    </xdr:to>
    <xdr:grpSp>
      <xdr:nvGrpSpPr>
        <xdr:cNvPr id="19" name="Grupo 18"/>
        <xdr:cNvGrpSpPr/>
      </xdr:nvGrpSpPr>
      <xdr:grpSpPr>
        <a:xfrm>
          <a:off x="6638637" y="1048713"/>
          <a:ext cx="6090226" cy="3603720"/>
          <a:chOff x="6638637" y="1048713"/>
          <a:chExt cx="6090226" cy="3603720"/>
        </a:xfrm>
      </xdr:grpSpPr>
      <xdr:graphicFrame macro="">
        <xdr:nvGraphicFramePr>
          <xdr:cNvPr id="17" name="Gráfico 16"/>
          <xdr:cNvGraphicFramePr/>
        </xdr:nvGraphicFramePr>
        <xdr:xfrm>
          <a:off x="6638637" y="1048713"/>
          <a:ext cx="6090226" cy="3603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3" name="CaixaDeTexto 12"/>
          <xdr:cNvSpPr txBox="1"/>
        </xdr:nvSpPr>
        <xdr:spPr>
          <a:xfrm>
            <a:off x="11410758" y="4286290"/>
            <a:ext cx="1201896" cy="2593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t(s)</a:t>
            </a:r>
          </a:p>
        </xdr:txBody>
      </xdr:sp>
      <xdr:sp macro="" textlink="">
        <xdr:nvSpPr>
          <xdr:cNvPr id="14" name="CaixaDeTexto 13"/>
          <xdr:cNvSpPr txBox="1"/>
        </xdr:nvSpPr>
        <xdr:spPr>
          <a:xfrm>
            <a:off x="6680722" y="1373559"/>
            <a:ext cx="447069" cy="23077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s</a:t>
            </a:r>
            <a:r>
              <a:rPr lang="pt-PT" sz="1100" baseline="0"/>
              <a:t>(m)</a:t>
            </a:r>
            <a:endParaRPr lang="pt-PT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292374</xdr:colOff>
      <xdr:row>6</xdr:row>
      <xdr:rowOff>146188</xdr:rowOff>
    </xdr:from>
    <xdr:to>
      <xdr:col>22</xdr:col>
      <xdr:colOff>27410</xdr:colOff>
      <xdr:row>21</xdr:row>
      <xdr:rowOff>174695</xdr:rowOff>
    </xdr:to>
    <xdr:grpSp>
      <xdr:nvGrpSpPr>
        <xdr:cNvPr id="7" name="Grupo 6"/>
        <xdr:cNvGrpSpPr/>
      </xdr:nvGrpSpPr>
      <xdr:grpSpPr>
        <a:xfrm>
          <a:off x="9385574" y="1355228"/>
          <a:ext cx="6440636" cy="2924107"/>
          <a:chOff x="9401656" y="1105540"/>
          <a:chExt cx="6532732" cy="3144119"/>
        </a:xfrm>
      </xdr:grpSpPr>
      <xdr:graphicFrame macro="">
        <xdr:nvGraphicFramePr>
          <xdr:cNvPr id="4" name="Gráfico 3"/>
          <xdr:cNvGraphicFramePr/>
        </xdr:nvGraphicFramePr>
        <xdr:xfrm>
          <a:off x="9410791" y="1105540"/>
          <a:ext cx="6523597" cy="31441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CaixaDeTexto 4"/>
          <xdr:cNvSpPr txBox="1"/>
        </xdr:nvSpPr>
        <xdr:spPr>
          <a:xfrm>
            <a:off x="9401656" y="1461872"/>
            <a:ext cx="557338" cy="31978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v(m/s)</a:t>
            </a:r>
          </a:p>
        </xdr:txBody>
      </xdr:sp>
      <xdr:sp macro="" textlink="">
        <xdr:nvSpPr>
          <xdr:cNvPr id="6" name="CaixaDeTexto 5"/>
          <xdr:cNvSpPr txBox="1"/>
        </xdr:nvSpPr>
        <xdr:spPr>
          <a:xfrm>
            <a:off x="15395324" y="3679163"/>
            <a:ext cx="383741" cy="30151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t(s)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="158" workbookViewId="0">
      <selection activeCell="B7" sqref="B7"/>
    </sheetView>
  </sheetViews>
  <sheetFormatPr baseColWidth="10" defaultColWidth="8.83203125" defaultRowHeight="15" x14ac:dyDescent="0.2"/>
  <cols>
    <col min="1" max="1" width="12" bestFit="1" customWidth="1"/>
    <col min="2" max="2" width="14.33203125" customWidth="1"/>
  </cols>
  <sheetData>
    <row r="1" spans="1:3" x14ac:dyDescent="0.2">
      <c r="A1" s="8" t="s">
        <v>21</v>
      </c>
      <c r="B1" s="9" t="s">
        <v>22</v>
      </c>
      <c r="C1" s="10" t="s">
        <v>23</v>
      </c>
    </row>
    <row r="2" spans="1:3" ht="16" thickBot="1" x14ac:dyDescent="0.25">
      <c r="A2" s="4"/>
      <c r="B2" s="5"/>
      <c r="C2" s="7"/>
    </row>
    <row r="4" spans="1:3" x14ac:dyDescent="0.2">
      <c r="A4" s="1" t="s">
        <v>17</v>
      </c>
      <c r="B4" s="3">
        <v>0.435</v>
      </c>
      <c r="C4" t="s">
        <v>34</v>
      </c>
    </row>
    <row r="5" spans="1:3" x14ac:dyDescent="0.2">
      <c r="A5" s="1" t="s">
        <v>18</v>
      </c>
      <c r="B5" s="3">
        <v>6.4399999999999999E-2</v>
      </c>
    </row>
    <row r="6" spans="1:3" x14ac:dyDescent="0.2">
      <c r="A6" s="1" t="s">
        <v>19</v>
      </c>
      <c r="B6" s="3">
        <v>5.7500000000000002E-2</v>
      </c>
    </row>
    <row r="7" spans="1:3" x14ac:dyDescent="0.2">
      <c r="A7" s="1" t="s">
        <v>30</v>
      </c>
      <c r="B7" s="3">
        <v>2.5999999999999999E-3</v>
      </c>
    </row>
    <row r="8" spans="1:3" x14ac:dyDescent="0.2">
      <c r="A8" s="1"/>
    </row>
    <row r="9" spans="1:3" x14ac:dyDescent="0.2">
      <c r="A9" s="1" t="s">
        <v>20</v>
      </c>
      <c r="B9" s="3">
        <v>1.6000000000000001E-3</v>
      </c>
    </row>
    <row r="10" spans="1:3" x14ac:dyDescent="0.2">
      <c r="B10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C1" zoomScale="132" workbookViewId="0">
      <selection activeCell="G8" sqref="G8"/>
    </sheetView>
  </sheetViews>
  <sheetFormatPr baseColWidth="10" defaultColWidth="8.83203125" defaultRowHeight="15" x14ac:dyDescent="0.2"/>
  <cols>
    <col min="4" max="4" width="9.83203125" bestFit="1" customWidth="1"/>
    <col min="6" max="6" width="15.1640625" customWidth="1"/>
  </cols>
  <sheetData>
    <row r="1" spans="1:11" ht="21" x14ac:dyDescent="0.25">
      <c r="A1" s="1" t="s">
        <v>24</v>
      </c>
      <c r="D1" s="11" t="s">
        <v>27</v>
      </c>
    </row>
    <row r="2" spans="1:11" x14ac:dyDescent="0.2">
      <c r="A2" s="1" t="s">
        <v>14</v>
      </c>
      <c r="B2">
        <v>2</v>
      </c>
    </row>
    <row r="3" spans="1:11" s="1" customFormat="1" x14ac:dyDescent="0.2">
      <c r="A3" s="1" t="s">
        <v>15</v>
      </c>
      <c r="B3" s="1">
        <v>0</v>
      </c>
      <c r="D3" s="21" t="s">
        <v>1</v>
      </c>
      <c r="E3" s="22"/>
      <c r="F3" s="22"/>
    </row>
    <row r="5" spans="1:11" ht="16" thickBot="1" x14ac:dyDescent="0.25">
      <c r="D5" s="2" t="s">
        <v>8</v>
      </c>
      <c r="E5" s="2" t="s">
        <v>4</v>
      </c>
      <c r="I5" s="2" t="s">
        <v>26</v>
      </c>
      <c r="K5" t="s">
        <v>12</v>
      </c>
    </row>
    <row r="6" spans="1:11" s="2" customFormat="1" ht="16" thickBot="1" x14ac:dyDescent="0.25">
      <c r="D6" s="15" t="s">
        <v>5</v>
      </c>
      <c r="E6" s="16" t="s">
        <v>16</v>
      </c>
      <c r="F6" s="16" t="s">
        <v>0</v>
      </c>
      <c r="G6" s="16" t="s">
        <v>13</v>
      </c>
      <c r="H6" s="18" t="s">
        <v>25</v>
      </c>
      <c r="I6" s="17">
        <f>SUM(H7:H16)</f>
        <v>0.63853287707384809</v>
      </c>
    </row>
    <row r="7" spans="1:11" x14ac:dyDescent="0.2">
      <c r="D7" s="24">
        <v>5.0789999999999997</v>
      </c>
      <c r="E7" s="13">
        <v>0.3</v>
      </c>
      <c r="F7" s="14" t="s">
        <v>35</v>
      </c>
      <c r="G7" s="13">
        <f>(0.5*((0.435*9.8)/(0.435+(0.0016/(0.0026*0.0026))))) *(D7^2)</f>
        <v>0.23188413144850156</v>
      </c>
      <c r="H7" s="3">
        <f>E7-G7</f>
        <v>6.8115868551498426E-2</v>
      </c>
      <c r="I7" t="s">
        <v>10</v>
      </c>
      <c r="J7" t="s">
        <v>11</v>
      </c>
    </row>
    <row r="8" spans="1:11" x14ac:dyDescent="0.2">
      <c r="D8" s="3">
        <v>4.5910000000000002</v>
      </c>
      <c r="E8" s="3">
        <v>0.25</v>
      </c>
      <c r="F8" s="6">
        <v>5.0000000000000001E-3</v>
      </c>
      <c r="G8" s="13">
        <f>(0.5*((0.435*9.8)/(0.435+(0.0016/(0.0026*0.0026)))))*(D8^2)</f>
        <v>0.18946508516419136</v>
      </c>
      <c r="H8" s="3">
        <f>E8-G8</f>
        <v>6.053491483580864E-2</v>
      </c>
    </row>
    <row r="9" spans="1:11" x14ac:dyDescent="0.2">
      <c r="D9" s="3">
        <v>4.133</v>
      </c>
      <c r="E9" s="3">
        <v>0.2</v>
      </c>
      <c r="F9" s="6">
        <v>5.0000000000000001E-3</v>
      </c>
      <c r="G9" s="13">
        <f t="shared" ref="G9:G16" si="0">(0.5*((0.435*9.8)/(0.435+(0.0016/(0.0026*0.0026)))))*(D9^2)</f>
        <v>0.15354844209427349</v>
      </c>
      <c r="H9" s="3">
        <f t="shared" ref="H8:H16" si="1">E9-G9</f>
        <v>4.6451557905726526E-2</v>
      </c>
    </row>
    <row r="10" spans="1:11" x14ac:dyDescent="0.2">
      <c r="D10" s="3">
        <v>3.7280000000000002</v>
      </c>
      <c r="E10" s="3">
        <v>0.15</v>
      </c>
      <c r="F10" s="6">
        <v>5.0000000000000001E-3</v>
      </c>
      <c r="G10" s="13">
        <f t="shared" si="0"/>
        <v>0.12492990543564746</v>
      </c>
      <c r="H10" s="3">
        <f t="shared" si="1"/>
        <v>2.5070094564352538E-2</v>
      </c>
    </row>
    <row r="11" spans="1:11" x14ac:dyDescent="0.2">
      <c r="D11" s="3">
        <v>3.036</v>
      </c>
      <c r="E11" s="3">
        <v>0.1</v>
      </c>
      <c r="F11" s="6">
        <v>5.0000000000000001E-3</v>
      </c>
      <c r="G11" s="13">
        <f t="shared" si="0"/>
        <v>8.2854888712806954E-2</v>
      </c>
      <c r="H11" s="3">
        <f t="shared" si="1"/>
        <v>1.7145111287193052E-2</v>
      </c>
    </row>
    <row r="12" spans="1:11" x14ac:dyDescent="0.2">
      <c r="D12" s="3">
        <v>5.4630000000000001</v>
      </c>
      <c r="E12" s="23">
        <v>0.35</v>
      </c>
      <c r="F12" s="6">
        <v>5.0000000000000001E-3</v>
      </c>
      <c r="G12" s="13">
        <f t="shared" si="0"/>
        <v>0.26827302412756904</v>
      </c>
      <c r="H12" s="3">
        <f t="shared" si="1"/>
        <v>8.172697587243094E-2</v>
      </c>
    </row>
    <row r="13" spans="1:11" x14ac:dyDescent="0.2">
      <c r="D13" s="3">
        <v>5.8029999999999999</v>
      </c>
      <c r="E13" s="3">
        <v>0.4</v>
      </c>
      <c r="F13" s="6">
        <v>5.0000000000000001E-3</v>
      </c>
      <c r="G13" s="13">
        <f t="shared" si="0"/>
        <v>0.30270510485070995</v>
      </c>
      <c r="H13" s="3">
        <f t="shared" si="1"/>
        <v>9.7294895149290073E-2</v>
      </c>
    </row>
    <row r="14" spans="1:11" x14ac:dyDescent="0.2">
      <c r="D14" s="23">
        <v>6.1630000000000003</v>
      </c>
      <c r="E14" s="3">
        <v>0.45</v>
      </c>
      <c r="F14" s="6">
        <v>5.0000000000000001E-3</v>
      </c>
      <c r="G14" s="13">
        <f t="shared" si="0"/>
        <v>0.34142784690016587</v>
      </c>
      <c r="H14" s="3">
        <f t="shared" si="1"/>
        <v>0.10857215309983415</v>
      </c>
    </row>
    <row r="15" spans="1:11" x14ac:dyDescent="0.2">
      <c r="D15" s="3">
        <v>6.4470000000000001</v>
      </c>
      <c r="E15" s="23">
        <v>0.5</v>
      </c>
      <c r="F15" s="6">
        <v>5.0000000000000001E-3</v>
      </c>
      <c r="G15" s="13">
        <f t="shared" si="0"/>
        <v>0.373619852196931</v>
      </c>
      <c r="H15" s="3">
        <f t="shared" si="1"/>
        <v>0.126380147803069</v>
      </c>
    </row>
    <row r="16" spans="1:11" x14ac:dyDescent="0.2">
      <c r="D16" s="3">
        <v>2.181</v>
      </c>
      <c r="E16" s="3">
        <v>0.05</v>
      </c>
      <c r="F16" s="6">
        <v>5.0000000000000001E-3</v>
      </c>
      <c r="G16" s="13">
        <f t="shared" si="0"/>
        <v>4.2758841995355283E-2</v>
      </c>
      <c r="H16" s="3">
        <f t="shared" si="1"/>
        <v>7.2411580046447196E-3</v>
      </c>
    </row>
    <row r="17" spans="4:10" x14ac:dyDescent="0.2">
      <c r="D17" s="12" t="s">
        <v>31</v>
      </c>
    </row>
    <row r="26" spans="4:10" x14ac:dyDescent="0.2">
      <c r="J26" t="s">
        <v>36</v>
      </c>
    </row>
    <row r="27" spans="4:10" x14ac:dyDescent="0.2">
      <c r="J27" t="s">
        <v>37</v>
      </c>
    </row>
  </sheetData>
  <mergeCells count="1">
    <mergeCell ref="D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E1" zoomScale="125" workbookViewId="0">
      <selection activeCell="L22" sqref="L22"/>
    </sheetView>
  </sheetViews>
  <sheetFormatPr baseColWidth="10" defaultColWidth="8.83203125" defaultRowHeight="15" x14ac:dyDescent="0.2"/>
  <cols>
    <col min="6" max="6" width="11.1640625" bestFit="1" customWidth="1"/>
    <col min="8" max="8" width="11.5" bestFit="1" customWidth="1"/>
    <col min="9" max="9" width="13.5" bestFit="1" customWidth="1"/>
    <col min="10" max="10" width="12.83203125" bestFit="1" customWidth="1"/>
  </cols>
  <sheetData>
    <row r="1" spans="1:15" x14ac:dyDescent="0.2">
      <c r="A1" s="1" t="s">
        <v>24</v>
      </c>
    </row>
    <row r="2" spans="1:15" x14ac:dyDescent="0.2">
      <c r="A2" s="1" t="s">
        <v>14</v>
      </c>
      <c r="B2">
        <v>2</v>
      </c>
      <c r="D2" s="1" t="s">
        <v>2</v>
      </c>
    </row>
    <row r="3" spans="1:15" s="1" customFormat="1" x14ac:dyDescent="0.2">
      <c r="A3" s="1" t="s">
        <v>15</v>
      </c>
      <c r="B3" s="1">
        <v>0</v>
      </c>
      <c r="D3" s="1" t="s">
        <v>1</v>
      </c>
    </row>
    <row r="4" spans="1:15" s="1" customFormat="1" x14ac:dyDescent="0.2"/>
    <row r="5" spans="1:15" ht="16" thickBot="1" x14ac:dyDescent="0.25">
      <c r="D5" s="2" t="s">
        <v>8</v>
      </c>
      <c r="E5" s="1"/>
      <c r="F5" s="1"/>
      <c r="G5" s="1"/>
      <c r="H5" s="1"/>
      <c r="I5" s="2" t="s">
        <v>9</v>
      </c>
      <c r="M5" s="2" t="s">
        <v>26</v>
      </c>
    </row>
    <row r="6" spans="1:15" s="2" customFormat="1" ht="18" thickBot="1" x14ac:dyDescent="0.25">
      <c r="D6" s="20" t="s">
        <v>32</v>
      </c>
      <c r="E6" s="16" t="s">
        <v>28</v>
      </c>
      <c r="F6" s="16" t="s">
        <v>0</v>
      </c>
      <c r="G6" s="16" t="s">
        <v>3</v>
      </c>
      <c r="H6" s="16" t="s">
        <v>6</v>
      </c>
      <c r="I6" s="16" t="s">
        <v>29</v>
      </c>
      <c r="J6" s="16" t="s">
        <v>7</v>
      </c>
      <c r="K6" s="16" t="s">
        <v>13</v>
      </c>
      <c r="L6" s="16" t="s">
        <v>25</v>
      </c>
      <c r="M6" s="17">
        <f>SUM(L7:L16)</f>
        <v>0.15119656834818737</v>
      </c>
      <c r="O6" t="s">
        <v>12</v>
      </c>
    </row>
    <row r="7" spans="1:15" x14ac:dyDescent="0.2">
      <c r="D7" s="24">
        <v>5.0789999999999997</v>
      </c>
      <c r="E7" s="13">
        <v>0.3</v>
      </c>
      <c r="F7" s="19">
        <v>5.0000000000000001E-4</v>
      </c>
      <c r="G7" s="13">
        <v>4.8000000000000001E-2</v>
      </c>
      <c r="H7" s="19">
        <v>1E-3</v>
      </c>
      <c r="I7" s="13">
        <f>2*Raio_eixo/G7</f>
        <v>0.10833333333333332</v>
      </c>
      <c r="J7" s="19">
        <f>SQRT((((-E7/D7)*G7)^2) + (((1/D7)*E7)^2))</f>
        <v>5.9134751164283107E-2</v>
      </c>
      <c r="K7" s="13">
        <f>((0.435*9.8)/(0.435+(0.0016/(0.0026*0.0026))))*D7</f>
        <v>9.13109397316407E-2</v>
      </c>
      <c r="L7">
        <f>I7-K7</f>
        <v>1.7022393601692623E-2</v>
      </c>
    </row>
    <row r="8" spans="1:15" x14ac:dyDescent="0.2">
      <c r="D8" s="3">
        <v>4.5910000000000002</v>
      </c>
      <c r="E8" s="3">
        <v>0.25</v>
      </c>
      <c r="F8" s="19">
        <v>5.0000000000000001E-4</v>
      </c>
      <c r="G8" s="3">
        <v>5.2999999999999999E-2</v>
      </c>
      <c r="H8" s="19">
        <v>1E-3</v>
      </c>
      <c r="I8" s="13">
        <f>2*Raio_eixo/G8</f>
        <v>9.8113207547169803E-2</v>
      </c>
      <c r="J8" s="19">
        <f t="shared" ref="J8:J16" si="0">SQRT((((-E8/D8)*G8)^2) + (((1/D8)*E8)^2))</f>
        <v>5.4530794765449815E-2</v>
      </c>
      <c r="K8" s="13">
        <f t="shared" ref="K8:K16" si="1">((0.435*9.8)/(0.435+(0.0016/(0.0026*0.0026))))*D8</f>
        <v>8.2537610613892989E-2</v>
      </c>
      <c r="L8">
        <f t="shared" ref="L8:L16" si="2">I8-K8</f>
        <v>1.5575596933276814E-2</v>
      </c>
    </row>
    <row r="9" spans="1:15" x14ac:dyDescent="0.2">
      <c r="D9" s="3">
        <v>4.133</v>
      </c>
      <c r="E9" s="3">
        <v>0.2</v>
      </c>
      <c r="F9" s="19">
        <v>5.0000000000000001E-4</v>
      </c>
      <c r="G9" s="3">
        <v>5.8000000000000003E-2</v>
      </c>
      <c r="H9" s="19">
        <v>1E-3</v>
      </c>
      <c r="I9" s="13">
        <f>2*Raio_eixo/G9</f>
        <v>8.9655172413793088E-2</v>
      </c>
      <c r="J9" s="19">
        <f t="shared" si="0"/>
        <v>4.8472324597740264E-2</v>
      </c>
      <c r="K9" s="13">
        <f t="shared" si="1"/>
        <v>7.43036254992855E-2</v>
      </c>
      <c r="L9">
        <f t="shared" si="2"/>
        <v>1.5351546914507588E-2</v>
      </c>
    </row>
    <row r="10" spans="1:15" x14ac:dyDescent="0.2">
      <c r="D10" s="3">
        <v>3.7280000000000002</v>
      </c>
      <c r="E10" s="3">
        <v>0.15</v>
      </c>
      <c r="F10" s="19">
        <v>5.0000000000000001E-4</v>
      </c>
      <c r="G10" s="3">
        <v>6.5000000000000002E-2</v>
      </c>
      <c r="H10" s="19">
        <v>1E-3</v>
      </c>
      <c r="I10" s="13">
        <f>2*Raio_eixo/G10</f>
        <v>7.9999999999999988E-2</v>
      </c>
      <c r="J10" s="19">
        <f t="shared" si="0"/>
        <v>4.0320960570271402E-2</v>
      </c>
      <c r="K10" s="13">
        <f t="shared" si="1"/>
        <v>6.7022481456892408E-2</v>
      </c>
      <c r="L10">
        <f t="shared" si="2"/>
        <v>1.297751854310758E-2</v>
      </c>
    </row>
    <row r="11" spans="1:15" x14ac:dyDescent="0.2">
      <c r="D11" s="3">
        <v>3.036</v>
      </c>
      <c r="E11" s="3">
        <v>0.1</v>
      </c>
      <c r="F11" s="19">
        <v>5.0000000000000001E-4</v>
      </c>
      <c r="G11" s="3">
        <v>7.9000000000000001E-2</v>
      </c>
      <c r="H11" s="19">
        <v>1E-3</v>
      </c>
      <c r="I11" s="13">
        <f>2*Raio_eixo/G11</f>
        <v>6.5822784810126572E-2</v>
      </c>
      <c r="J11" s="19">
        <f t="shared" si="0"/>
        <v>3.3040699814685E-2</v>
      </c>
      <c r="K11" s="13">
        <f t="shared" si="1"/>
        <v>5.4581613117791132E-2</v>
      </c>
      <c r="L11">
        <f t="shared" si="2"/>
        <v>1.124117169233544E-2</v>
      </c>
    </row>
    <row r="12" spans="1:15" x14ac:dyDescent="0.2">
      <c r="D12" s="3">
        <v>5.4630000000000001</v>
      </c>
      <c r="E12" s="23">
        <v>0.35</v>
      </c>
      <c r="F12" s="19">
        <v>5.0000000000000001E-4</v>
      </c>
      <c r="G12" s="3">
        <v>4.4999999999999998E-2</v>
      </c>
      <c r="H12" s="19">
        <v>1E-3</v>
      </c>
      <c r="I12" s="13">
        <f>2*Raio_eixo/G12</f>
        <v>0.11555555555555555</v>
      </c>
      <c r="J12" s="19">
        <f t="shared" si="0"/>
        <v>6.413219765313409E-2</v>
      </c>
      <c r="K12" s="13">
        <f t="shared" si="1"/>
        <v>9.8214542971835628E-2</v>
      </c>
      <c r="L12">
        <f t="shared" si="2"/>
        <v>1.7341012583719922E-2</v>
      </c>
    </row>
    <row r="13" spans="1:15" x14ac:dyDescent="0.2">
      <c r="D13" s="3">
        <v>5.8029999999999999</v>
      </c>
      <c r="E13" s="3">
        <v>0.4</v>
      </c>
      <c r="F13" s="19">
        <v>5.0000000000000001E-4</v>
      </c>
      <c r="G13" s="3">
        <v>4.1000000000000002E-2</v>
      </c>
      <c r="H13" s="19">
        <v>1E-3</v>
      </c>
      <c r="I13" s="13">
        <f>2*Raio_eixo/G13</f>
        <v>0.12682926829268293</v>
      </c>
      <c r="J13" s="19">
        <f t="shared" si="0"/>
        <v>6.898777508712356E-2</v>
      </c>
      <c r="K13" s="13">
        <f t="shared" si="1"/>
        <v>0.10432710834075822</v>
      </c>
      <c r="L13">
        <f t="shared" si="2"/>
        <v>2.2502159951924713E-2</v>
      </c>
    </row>
    <row r="14" spans="1:15" x14ac:dyDescent="0.2">
      <c r="D14" s="23">
        <v>6.1630000000000003</v>
      </c>
      <c r="E14" s="3">
        <v>0.45</v>
      </c>
      <c r="F14" s="19">
        <v>5.0000000000000001E-4</v>
      </c>
      <c r="G14" s="3">
        <v>0.04</v>
      </c>
      <c r="H14" s="19">
        <v>1E-3</v>
      </c>
      <c r="I14" s="13">
        <f>2*Raio_eixo/G14</f>
        <v>0.13</v>
      </c>
      <c r="J14" s="19">
        <f t="shared" si="0"/>
        <v>7.3074777886594985E-2</v>
      </c>
      <c r="K14" s="13">
        <f t="shared" si="1"/>
        <v>0.11079923637844097</v>
      </c>
      <c r="L14">
        <f t="shared" si="2"/>
        <v>1.9200763621559036E-2</v>
      </c>
    </row>
    <row r="15" spans="1:15" x14ac:dyDescent="0.2">
      <c r="D15" s="3">
        <v>6.4470000000000001</v>
      </c>
      <c r="E15" s="23">
        <v>0.5</v>
      </c>
      <c r="F15" s="19">
        <v>5.0000000000000001E-4</v>
      </c>
      <c r="G15" s="3">
        <v>0.04</v>
      </c>
      <c r="H15" s="19">
        <v>1E-3</v>
      </c>
      <c r="I15" s="13">
        <f>2*Raio_eixo/G15</f>
        <v>0.13</v>
      </c>
      <c r="J15" s="19">
        <f t="shared" si="0"/>
        <v>7.7617471712094321E-2</v>
      </c>
      <c r="K15" s="13">
        <f t="shared" si="1"/>
        <v>0.11590502627483512</v>
      </c>
      <c r="L15">
        <f t="shared" si="2"/>
        <v>1.4094973725164883E-2</v>
      </c>
    </row>
    <row r="16" spans="1:15" x14ac:dyDescent="0.2">
      <c r="D16" s="3">
        <v>2.181</v>
      </c>
      <c r="E16" s="3">
        <v>0.05</v>
      </c>
      <c r="F16" s="19">
        <v>5.0000000000000001E-4</v>
      </c>
      <c r="G16" s="3">
        <v>0.1153</v>
      </c>
      <c r="H16" s="19">
        <v>1E-3</v>
      </c>
      <c r="I16" s="13">
        <f>2*Raio_eixo/G16</f>
        <v>4.5099739809193407E-2</v>
      </c>
      <c r="J16" s="19">
        <f t="shared" si="0"/>
        <v>2.3077145782471619E-2</v>
      </c>
      <c r="K16" s="13">
        <f t="shared" si="1"/>
        <v>3.9210309028294622E-2</v>
      </c>
      <c r="L16">
        <f t="shared" si="2"/>
        <v>5.8894307808987842E-3</v>
      </c>
    </row>
    <row r="17" spans="4:14" x14ac:dyDescent="0.2">
      <c r="D17" s="12" t="s">
        <v>33</v>
      </c>
    </row>
    <row r="18" spans="4:14" x14ac:dyDescent="0.2">
      <c r="D18" s="12" t="s">
        <v>31</v>
      </c>
    </row>
    <row r="25" spans="4:14" x14ac:dyDescent="0.2">
      <c r="N25" t="s">
        <v>36</v>
      </c>
    </row>
    <row r="26" spans="4:14" x14ac:dyDescent="0.2">
      <c r="N26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Medições da Roda de Maxwell</vt:lpstr>
      <vt:lpstr>Tempo de Queda</vt:lpstr>
      <vt:lpstr>Tempo de passagem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2023-03-14T10:55:29Z</dcterms:modified>
</cp:coreProperties>
</file>