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315"/>
  <workbookPr filterPrivacy="1"/>
  <mc:AlternateContent xmlns:mc="http://schemas.openxmlformats.org/markup-compatibility/2006">
    <mc:Choice Requires="x15">
      <x15ac:absPath xmlns:x15ac="http://schemas.microsoft.com/office/spreadsheetml/2010/11/ac" url="/Users/carolinabaltazar/Desktop/"/>
    </mc:Choice>
  </mc:AlternateContent>
  <bookViews>
    <workbookView xWindow="0" yWindow="0" windowWidth="28800" windowHeight="18000" activeTab="2"/>
  </bookViews>
  <sheets>
    <sheet name="Medições da Roda de Maxwell" sheetId="3" r:id="rId1"/>
    <sheet name="Tempo de Queda" sheetId="1" r:id="rId2"/>
    <sheet name="Tempo de passagem" sheetId="2" r:id="rId3"/>
  </sheets>
  <definedNames>
    <definedName name="inercia">'Tempo de Queda'!$C$6</definedName>
    <definedName name="inercia2">'Tempo de passagem'!$B$6</definedName>
    <definedName name="MASSA">'Medições da Roda de Maxwell'!$B$4</definedName>
    <definedName name="Raio_eixo">'Medições da Roda de Maxwell'!$B$7</definedName>
    <definedName name="solver_adj" localSheetId="2" hidden="1">'Tempo de passagem'!$B$6</definedName>
    <definedName name="solver_adj" localSheetId="1" hidden="1">'Tempo de Queda'!$C$6</definedName>
    <definedName name="solver_cvg" localSheetId="2" hidden="1">0.0001</definedName>
    <definedName name="solver_cvg" localSheetId="1" hidden="1">0.0001</definedName>
    <definedName name="solver_drv" localSheetId="2" hidden="1">1</definedName>
    <definedName name="solver_drv" localSheetId="1" hidden="1">1</definedName>
    <definedName name="solver_eng" localSheetId="2" hidden="1">1</definedName>
    <definedName name="solver_eng" localSheetId="1" hidden="1">1</definedName>
    <definedName name="solver_itr" localSheetId="2" hidden="1">2147483647</definedName>
    <definedName name="solver_itr" localSheetId="1" hidden="1">2147483647</definedName>
    <definedName name="solver_lin" localSheetId="2" hidden="1">2</definedName>
    <definedName name="solver_lin" localSheetId="1" hidden="1">2</definedName>
    <definedName name="solver_mip" localSheetId="2" hidden="1">2147483647</definedName>
    <definedName name="solver_mip" localSheetId="1" hidden="1">2147483647</definedName>
    <definedName name="solver_mni" localSheetId="2" hidden="1">30</definedName>
    <definedName name="solver_mni" localSheetId="1" hidden="1">30</definedName>
    <definedName name="solver_mrt" localSheetId="2" hidden="1">0.075</definedName>
    <definedName name="solver_mrt" localSheetId="1" hidden="1">0.075</definedName>
    <definedName name="solver_msl" localSheetId="2" hidden="1">2</definedName>
    <definedName name="solver_msl" localSheetId="1" hidden="1">2</definedName>
    <definedName name="solver_neg" localSheetId="2" hidden="1">2</definedName>
    <definedName name="solver_neg" localSheetId="1" hidden="1">1</definedName>
    <definedName name="solver_nod" localSheetId="2" hidden="1">2147483647</definedName>
    <definedName name="solver_nod" localSheetId="1" hidden="1">2147483647</definedName>
    <definedName name="solver_num" localSheetId="2" hidden="1">0</definedName>
    <definedName name="solver_num" localSheetId="1" hidden="1">0</definedName>
    <definedName name="solver_opt" localSheetId="2" hidden="1">'Tempo de passagem'!$M$6</definedName>
    <definedName name="solver_opt" localSheetId="1" hidden="1">'Tempo de Queda'!$I$6</definedName>
    <definedName name="solver_pre" localSheetId="2" hidden="1">0.000001</definedName>
    <definedName name="solver_pre" localSheetId="1" hidden="1">0.000001</definedName>
    <definedName name="solver_rbv" localSheetId="2" hidden="1">1</definedName>
    <definedName name="solver_rbv" localSheetId="1" hidden="1">1</definedName>
    <definedName name="solver_rlx" localSheetId="2" hidden="1">1</definedName>
    <definedName name="solver_rlx" localSheetId="1" hidden="1">2</definedName>
    <definedName name="solver_rsd" localSheetId="2" hidden="1">0</definedName>
    <definedName name="solver_rsd" localSheetId="1" hidden="1">0</definedName>
    <definedName name="solver_scl" localSheetId="2" hidden="1">2</definedName>
    <definedName name="solver_scl" localSheetId="1" hidden="1">1</definedName>
    <definedName name="solver_sho" localSheetId="2" hidden="1">2</definedName>
    <definedName name="solver_sho" localSheetId="1" hidden="1">2</definedName>
    <definedName name="solver_ssz" localSheetId="2" hidden="1">100</definedName>
    <definedName name="solver_ssz" localSheetId="1" hidden="1">100</definedName>
    <definedName name="solver_tim" localSheetId="2" hidden="1">2147483647</definedName>
    <definedName name="solver_tim" localSheetId="1" hidden="1">2147483647</definedName>
    <definedName name="solver_tol" localSheetId="2" hidden="1">0.01</definedName>
    <definedName name="solver_tol" localSheetId="1" hidden="1">0.01</definedName>
    <definedName name="solver_typ" localSheetId="2" hidden="1">2</definedName>
    <definedName name="solver_typ" localSheetId="1" hidden="1">2</definedName>
    <definedName name="solver_val" localSheetId="2" hidden="1">0</definedName>
    <definedName name="solver_val" localSheetId="1" hidden="1">0</definedName>
    <definedName name="solver_ver" localSheetId="2" hidden="1">2</definedName>
    <definedName name="solver_ver" localSheetId="1" hidden="1">2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2" l="1"/>
  <c r="Q8" i="2"/>
  <c r="Q9" i="2"/>
  <c r="Q10" i="2"/>
  <c r="Q11" i="2"/>
  <c r="Q12" i="2"/>
  <c r="Q13" i="2"/>
  <c r="Q14" i="2"/>
  <c r="Q15" i="2"/>
  <c r="Q16" i="2"/>
  <c r="B21" i="2"/>
  <c r="K7" i="2"/>
  <c r="A8" i="1"/>
  <c r="G7" i="1"/>
  <c r="N8" i="2"/>
  <c r="N9" i="2"/>
  <c r="N10" i="2"/>
  <c r="N11" i="2"/>
  <c r="N12" i="2"/>
  <c r="N13" i="2"/>
  <c r="N14" i="2"/>
  <c r="N15" i="2"/>
  <c r="N16" i="2"/>
  <c r="N7" i="2"/>
  <c r="P8" i="2"/>
  <c r="P9" i="2"/>
  <c r="P10" i="2"/>
  <c r="P11" i="2"/>
  <c r="P12" i="2"/>
  <c r="P13" i="2"/>
  <c r="P14" i="2"/>
  <c r="P15" i="2"/>
  <c r="P16" i="2"/>
  <c r="P7" i="2"/>
  <c r="O8" i="2"/>
  <c r="O9" i="2"/>
  <c r="O10" i="2"/>
  <c r="O11" i="2"/>
  <c r="O12" i="2"/>
  <c r="O13" i="2"/>
  <c r="O14" i="2"/>
  <c r="O15" i="2"/>
  <c r="O16" i="2"/>
  <c r="O7" i="2"/>
  <c r="K8" i="2"/>
  <c r="K9" i="2"/>
  <c r="K10" i="2"/>
  <c r="K11" i="2"/>
  <c r="K12" i="2"/>
  <c r="K13" i="2"/>
  <c r="K14" i="2"/>
  <c r="K15" i="2"/>
  <c r="K16" i="2"/>
  <c r="G8" i="1"/>
  <c r="G9" i="1"/>
  <c r="G10" i="1"/>
  <c r="G11" i="1"/>
  <c r="G12" i="1"/>
  <c r="G13" i="1"/>
  <c r="G14" i="1"/>
  <c r="G15" i="1"/>
  <c r="G16" i="1"/>
  <c r="L8" i="2"/>
  <c r="L9" i="2"/>
  <c r="L10" i="2"/>
  <c r="L11" i="2"/>
  <c r="L12" i="2"/>
  <c r="L13" i="2"/>
  <c r="L14" i="2"/>
  <c r="L15" i="2"/>
  <c r="L16" i="2"/>
  <c r="L7" i="2"/>
  <c r="H8" i="1"/>
  <c r="H9" i="1"/>
  <c r="H10" i="1"/>
  <c r="H11" i="1"/>
  <c r="H12" i="1"/>
  <c r="H13" i="1"/>
  <c r="H14" i="1"/>
  <c r="H15" i="1"/>
  <c r="H16" i="1"/>
  <c r="H7" i="1"/>
  <c r="C8" i="2"/>
  <c r="C9" i="2"/>
  <c r="C10" i="2"/>
  <c r="C11" i="2"/>
  <c r="C12" i="2"/>
  <c r="C13" i="2"/>
  <c r="C14" i="2"/>
  <c r="C15" i="2"/>
  <c r="C16" i="2"/>
  <c r="C7" i="2"/>
  <c r="I7" i="2"/>
  <c r="I8" i="2"/>
  <c r="I9" i="2"/>
  <c r="I10" i="2"/>
  <c r="I11" i="2"/>
  <c r="I12" i="2"/>
  <c r="I13" i="2"/>
  <c r="I14" i="2"/>
  <c r="I15" i="2"/>
  <c r="I16" i="2"/>
  <c r="J8" i="2"/>
  <c r="J9" i="2"/>
  <c r="J10" i="2"/>
  <c r="J11" i="2"/>
  <c r="J12" i="2"/>
  <c r="J13" i="2"/>
  <c r="J14" i="2"/>
  <c r="J15" i="2"/>
  <c r="J16" i="2"/>
  <c r="J7" i="2"/>
  <c r="M6" i="2"/>
  <c r="I6" i="1"/>
</calcChain>
</file>

<file path=xl/sharedStrings.xml><?xml version="1.0" encoding="utf-8"?>
<sst xmlns="http://schemas.openxmlformats.org/spreadsheetml/2006/main" count="57" uniqueCount="43">
  <si>
    <r>
      <t xml:space="preserve">Erro( </t>
    </r>
    <r>
      <rPr>
        <b/>
        <i/>
        <sz val="11"/>
        <color theme="1"/>
        <rFont val="Calibri"/>
        <family val="2"/>
        <scheme val="minor"/>
      </rPr>
      <t xml:space="preserve">s) / </t>
    </r>
    <r>
      <rPr>
        <b/>
        <sz val="11"/>
        <color theme="1"/>
        <rFont val="Calibri"/>
        <family val="2"/>
        <scheme val="minor"/>
      </rPr>
      <t>m</t>
    </r>
  </si>
  <si>
    <t xml:space="preserve">Valores experimentais </t>
  </si>
  <si>
    <r>
      <t xml:space="preserve">Medição do intervalo de tempo </t>
    </r>
    <r>
      <rPr>
        <b/>
        <sz val="11"/>
        <color theme="1"/>
        <rFont val="Calibri"/>
        <family val="2"/>
      </rPr>
      <t>Δ</t>
    </r>
    <r>
      <rPr>
        <b/>
        <sz val="11"/>
        <color theme="1"/>
        <rFont val="Calibri"/>
        <family val="2"/>
        <scheme val="minor"/>
      </rPr>
      <t xml:space="preserve">t de passagem do eixo da roda </t>
    </r>
  </si>
  <si>
    <t>Δt / s</t>
  </si>
  <si>
    <t>Y</t>
  </si>
  <si>
    <t>t / s</t>
  </si>
  <si>
    <t>Erro(Δt) / s</t>
  </si>
  <si>
    <r>
      <t>Erro( v) / ms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</si>
  <si>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t>X (tempo)</t>
  </si>
  <si>
    <t>Y(velocidade)</t>
  </si>
  <si>
    <t>Incluir aqui os Gráficos</t>
  </si>
  <si>
    <t>Modelo</t>
  </si>
  <si>
    <t>beta</t>
  </si>
  <si>
    <t>c</t>
  </si>
  <si>
    <t xml:space="preserve"> s(t) / m</t>
  </si>
  <si>
    <t>Massa</t>
  </si>
  <si>
    <t>Raio R1</t>
  </si>
  <si>
    <t>Raio R2</t>
  </si>
  <si>
    <t>Calculo de Iz</t>
  </si>
  <si>
    <t>Data</t>
  </si>
  <si>
    <t>Turno</t>
  </si>
  <si>
    <t>Grupo</t>
  </si>
  <si>
    <t>Parametros de Ajuste</t>
  </si>
  <si>
    <t>Diferença</t>
  </si>
  <si>
    <t>Soma</t>
  </si>
  <si>
    <t>Medição do Tempo de Queda</t>
  </si>
  <si>
    <t>s(t) / m</t>
  </si>
  <si>
    <r>
      <t>v(t) / ms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</si>
  <si>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t>Raio eixo</t>
  </si>
  <si>
    <r>
      <t xml:space="preserve">(os valores acima são um </t>
    </r>
    <r>
      <rPr>
        <b/>
        <sz val="11"/>
        <color theme="1"/>
        <rFont val="Calibri"/>
        <family val="2"/>
        <scheme val="minor"/>
      </rPr>
      <t>exemplo!)</t>
    </r>
  </si>
  <si>
    <r>
      <t xml:space="preserve"> t / s</t>
    </r>
    <r>
      <rPr>
        <sz val="11"/>
        <color theme="1"/>
        <rFont val="Calibri"/>
        <family val="2"/>
        <scheme val="minor"/>
      </rPr>
      <t xml:space="preserve">  </t>
    </r>
  </si>
  <si>
    <r>
      <t>(Usar os mesmos valores de tempo da experiencia anterior</t>
    </r>
    <r>
      <rPr>
        <b/>
        <sz val="11"/>
        <color theme="1"/>
        <rFont val="Calibri"/>
        <family val="2"/>
        <scheme val="minor"/>
      </rPr>
      <t>)</t>
    </r>
  </si>
  <si>
    <t>( indicar sempre as unidades)</t>
  </si>
  <si>
    <t>0.005</t>
  </si>
  <si>
    <t>Azul - valores experimentais</t>
  </si>
  <si>
    <t xml:space="preserve">Vermelho - modelo </t>
  </si>
  <si>
    <t>Ep(t)</t>
  </si>
  <si>
    <t>Et(t)</t>
  </si>
  <si>
    <t>Er(t)</t>
  </si>
  <si>
    <t>W</t>
  </si>
  <si>
    <t>inercia</t>
  </si>
  <si>
    <t>inercia2</t>
  </si>
  <si>
    <t>soma das energias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</si>
</sst>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2" borderId="8" xfId="0" applyFont="1" applyFill="1" applyBorder="1"/>
    <xf numFmtId="0" fontId="0" fillId="0" borderId="7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6" fillId="0" borderId="0" xfId="0" applyFont="1"/>
    <xf numFmtId="0" fontId="0" fillId="0" borderId="0" xfId="0" applyAlignment="1">
      <alignment horizontal="center"/>
    </xf>
    <xf numFmtId="0" fontId="0" fillId="0" borderId="9" xfId="0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2" borderId="9" xfId="0" applyFont="1" applyFill="1" applyBorder="1"/>
    <xf numFmtId="0" fontId="2" fillId="0" borderId="11" xfId="0" applyFont="1" applyBorder="1" applyAlignment="1">
      <alignment horizontal="center" wrapText="1"/>
    </xf>
    <xf numFmtId="0" fontId="0" fillId="0" borderId="1" xfId="0" applyBorder="1" applyAlignment="1">
      <alignment horizontal="right"/>
    </xf>
    <xf numFmtId="0" fontId="0" fillId="0" borderId="9" xfId="0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Relationship Id="rId3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Distância</a:t>
            </a:r>
            <a:r>
              <a:rPr lang="pt-PT" baseline="0"/>
              <a:t> </a:t>
            </a:r>
            <a:r>
              <a:rPr lang="pt-PT"/>
              <a:t>percorrida em função do tempo</a:t>
            </a:r>
          </a:p>
        </c:rich>
      </c:tx>
      <c:layout>
        <c:manualLayout>
          <c:xMode val="edge"/>
          <c:yMode val="edge"/>
          <c:x val="0.222945122292279"/>
          <c:y val="0.03255487868180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28692925352852"/>
          <c:y val="0.116613665878592"/>
          <c:w val="0.83944356087935"/>
          <c:h val="0.7122071082104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'Tempo de Queda'!$E$6</c:f>
              <c:strCache>
                <c:ptCount val="1"/>
                <c:pt idx="0">
                  <c:v> s(t) / m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'Tempo de Queda'!$D$7:$D$16</c:f>
              <c:numCache>
                <c:formatCode>General</c:formatCode>
                <c:ptCount val="10"/>
                <c:pt idx="0">
                  <c:v>5.079</c:v>
                </c:pt>
                <c:pt idx="1">
                  <c:v>4.591</c:v>
                </c:pt>
                <c:pt idx="2">
                  <c:v>4.133</c:v>
                </c:pt>
                <c:pt idx="3">
                  <c:v>3.728</c:v>
                </c:pt>
                <c:pt idx="4">
                  <c:v>3.036</c:v>
                </c:pt>
                <c:pt idx="5">
                  <c:v>5.463</c:v>
                </c:pt>
                <c:pt idx="6">
                  <c:v>5.803</c:v>
                </c:pt>
                <c:pt idx="7">
                  <c:v>6.163</c:v>
                </c:pt>
                <c:pt idx="8">
                  <c:v>6.447</c:v>
                </c:pt>
                <c:pt idx="9">
                  <c:v>2.181</c:v>
                </c:pt>
              </c:numCache>
            </c:numRef>
          </c:xVal>
          <c:yVal>
            <c:numRef>
              <c:f>'Tempo de Queda'!$E$7:$E$16</c:f>
              <c:numCache>
                <c:formatCode>General</c:formatCode>
                <c:ptCount val="10"/>
                <c:pt idx="0">
                  <c:v>0.3</c:v>
                </c:pt>
                <c:pt idx="1">
                  <c:v>0.25</c:v>
                </c:pt>
                <c:pt idx="2">
                  <c:v>0.2</c:v>
                </c:pt>
                <c:pt idx="3">
                  <c:v>0.15</c:v>
                </c:pt>
                <c:pt idx="4">
                  <c:v>0.1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7DA-46F2-85DF-DF40DBA3B769}"/>
            </c:ext>
          </c:extLst>
        </c:ser>
        <c:ser>
          <c:idx val="1"/>
          <c:order val="1"/>
          <c:tx>
            <c:strRef>
              <c:f>'Tempo de Queda'!$G$6</c:f>
              <c:strCache>
                <c:ptCount val="1"/>
                <c:pt idx="0">
                  <c:v>Modelo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'Tempo de Queda'!$D$7:$D$16</c:f>
              <c:numCache>
                <c:formatCode>General</c:formatCode>
                <c:ptCount val="10"/>
                <c:pt idx="0">
                  <c:v>5.079</c:v>
                </c:pt>
                <c:pt idx="1">
                  <c:v>4.591</c:v>
                </c:pt>
                <c:pt idx="2">
                  <c:v>4.133</c:v>
                </c:pt>
                <c:pt idx="3">
                  <c:v>3.728</c:v>
                </c:pt>
                <c:pt idx="4">
                  <c:v>3.036</c:v>
                </c:pt>
                <c:pt idx="5">
                  <c:v>5.463</c:v>
                </c:pt>
                <c:pt idx="6">
                  <c:v>5.803</c:v>
                </c:pt>
                <c:pt idx="7">
                  <c:v>6.163</c:v>
                </c:pt>
                <c:pt idx="8">
                  <c:v>6.447</c:v>
                </c:pt>
                <c:pt idx="9">
                  <c:v>2.181</c:v>
                </c:pt>
              </c:numCache>
            </c:numRef>
          </c:xVal>
          <c:yVal>
            <c:numRef>
              <c:f>'Tempo de Queda'!$G$7:$G$16</c:f>
              <c:numCache>
                <c:formatCode>General</c:formatCode>
                <c:ptCount val="10"/>
                <c:pt idx="0">
                  <c:v>0.305621993598996</c:v>
                </c:pt>
                <c:pt idx="1">
                  <c:v>0.249713926880519</c:v>
                </c:pt>
                <c:pt idx="2">
                  <c:v>0.202375991378668</c:v>
                </c:pt>
                <c:pt idx="3">
                  <c:v>0.1646569194747</c:v>
                </c:pt>
                <c:pt idx="4">
                  <c:v>0.109202281801913</c:v>
                </c:pt>
                <c:pt idx="5">
                  <c:v>0.353582351455163</c:v>
                </c:pt>
                <c:pt idx="6">
                  <c:v>0.398963642053329</c:v>
                </c:pt>
                <c:pt idx="7">
                  <c:v>0.450000000379568</c:v>
                </c:pt>
                <c:pt idx="8">
                  <c:v>0.492428884043528</c:v>
                </c:pt>
                <c:pt idx="9">
                  <c:v>0.0563559155728912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7DA-46F2-85DF-DF40DBA3B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634384"/>
        <c:axId val="1745636016"/>
      </c:scatterChart>
      <c:valAx>
        <c:axId val="174563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45636016"/>
        <c:crosses val="autoZero"/>
        <c:crossBetween val="midCat"/>
      </c:valAx>
      <c:valAx>
        <c:axId val="174563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45634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Velocidade</a:t>
            </a:r>
            <a:r>
              <a:rPr lang="pt-PT" baseline="0"/>
              <a:t> em função do tempo </a:t>
            </a:r>
            <a:endParaRPr lang="pt-PT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40695053551407"/>
          <c:y val="0.158435036653585"/>
          <c:w val="0.839043245620476"/>
          <c:h val="0.5739782749953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'Tempo de passagem'!$I$6</c:f>
              <c:strCache>
                <c:ptCount val="1"/>
                <c:pt idx="0">
                  <c:v>v(t) / ms-1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'Tempo de passagem'!$D$7:$D$16</c:f>
              <c:numCache>
                <c:formatCode>General</c:formatCode>
                <c:ptCount val="10"/>
                <c:pt idx="0">
                  <c:v>5.079</c:v>
                </c:pt>
                <c:pt idx="1">
                  <c:v>4.591</c:v>
                </c:pt>
                <c:pt idx="2">
                  <c:v>4.133</c:v>
                </c:pt>
                <c:pt idx="3">
                  <c:v>3.728</c:v>
                </c:pt>
                <c:pt idx="4">
                  <c:v>3.036</c:v>
                </c:pt>
                <c:pt idx="5">
                  <c:v>5.463</c:v>
                </c:pt>
                <c:pt idx="6">
                  <c:v>5.803</c:v>
                </c:pt>
                <c:pt idx="7">
                  <c:v>6.163</c:v>
                </c:pt>
                <c:pt idx="8">
                  <c:v>6.447</c:v>
                </c:pt>
                <c:pt idx="9">
                  <c:v>2.181</c:v>
                </c:pt>
              </c:numCache>
            </c:numRef>
          </c:xVal>
          <c:yVal>
            <c:numRef>
              <c:f>'Tempo de passagem'!$I$7:$I$16</c:f>
              <c:numCache>
                <c:formatCode>General</c:formatCode>
                <c:ptCount val="10"/>
                <c:pt idx="0">
                  <c:v>0.108333333333333</c:v>
                </c:pt>
                <c:pt idx="1">
                  <c:v>0.0981132075471698</c:v>
                </c:pt>
                <c:pt idx="2">
                  <c:v>0.0896551724137931</c:v>
                </c:pt>
                <c:pt idx="3">
                  <c:v>0.08</c:v>
                </c:pt>
                <c:pt idx="4">
                  <c:v>0.0658227848101266</c:v>
                </c:pt>
                <c:pt idx="5">
                  <c:v>0.115555555555556</c:v>
                </c:pt>
                <c:pt idx="6">
                  <c:v>0.126829268292683</c:v>
                </c:pt>
                <c:pt idx="7">
                  <c:v>0.13</c:v>
                </c:pt>
                <c:pt idx="8">
                  <c:v>0.13</c:v>
                </c:pt>
                <c:pt idx="9">
                  <c:v>0.0450997398091934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59F-4D85-BA11-07CB724B31A5}"/>
            </c:ext>
          </c:extLst>
        </c:ser>
        <c:ser>
          <c:idx val="1"/>
          <c:order val="1"/>
          <c:tx>
            <c:strRef>
              <c:f>'Tempo de passagem'!$K$6</c:f>
              <c:strCache>
                <c:ptCount val="1"/>
                <c:pt idx="0">
                  <c:v>Modelo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'Tempo de passagem'!$D$7:$D$16</c:f>
              <c:numCache>
                <c:formatCode>General</c:formatCode>
                <c:ptCount val="10"/>
                <c:pt idx="0">
                  <c:v>5.079</c:v>
                </c:pt>
                <c:pt idx="1">
                  <c:v>4.591</c:v>
                </c:pt>
                <c:pt idx="2">
                  <c:v>4.133</c:v>
                </c:pt>
                <c:pt idx="3">
                  <c:v>3.728</c:v>
                </c:pt>
                <c:pt idx="4">
                  <c:v>3.036</c:v>
                </c:pt>
                <c:pt idx="5">
                  <c:v>5.463</c:v>
                </c:pt>
                <c:pt idx="6">
                  <c:v>5.803</c:v>
                </c:pt>
                <c:pt idx="7">
                  <c:v>6.163</c:v>
                </c:pt>
                <c:pt idx="8">
                  <c:v>6.447</c:v>
                </c:pt>
                <c:pt idx="9">
                  <c:v>2.181</c:v>
                </c:pt>
              </c:numCache>
            </c:numRef>
          </c:xVal>
          <c:yVal>
            <c:numRef>
              <c:f>'Tempo de passagem'!$K$7:$K$16</c:f>
              <c:numCache>
                <c:formatCode>General</c:formatCode>
                <c:ptCount val="10"/>
                <c:pt idx="0">
                  <c:v>0.108355366859049</c:v>
                </c:pt>
                <c:pt idx="1">
                  <c:v>0.0979443766981476</c:v>
                </c:pt>
                <c:pt idx="2">
                  <c:v>0.0881734064241874</c:v>
                </c:pt>
                <c:pt idx="3">
                  <c:v>0.0795331379504889</c:v>
                </c:pt>
                <c:pt idx="4">
                  <c:v>0.0647700125583917</c:v>
                </c:pt>
                <c:pt idx="5">
                  <c:v>0.116547621411889</c:v>
                </c:pt>
                <c:pt idx="6">
                  <c:v>0.123801180130549</c:v>
                </c:pt>
                <c:pt idx="7">
                  <c:v>0.131481418773837</c:v>
                </c:pt>
                <c:pt idx="8">
                  <c:v>0.137540273703541</c:v>
                </c:pt>
                <c:pt idx="9">
                  <c:v>0.0465294457805837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59F-4D85-BA11-07CB724B3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57616"/>
        <c:axId val="1778959408"/>
      </c:scatterChart>
      <c:valAx>
        <c:axId val="177895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78959408"/>
        <c:crosses val="autoZero"/>
        <c:crossBetween val="midCat"/>
      </c:valAx>
      <c:valAx>
        <c:axId val="177895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78957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Variações da Energia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4573896311737"/>
          <c:y val="0.171712962962963"/>
          <c:w val="0.832643948948347"/>
          <c:h val="0.666828156897055"/>
        </c:manualLayout>
      </c:layout>
      <c:scatterChart>
        <c:scatterStyle val="lineMarker"/>
        <c:varyColors val="0"/>
        <c:ser>
          <c:idx val="0"/>
          <c:order val="0"/>
          <c:tx>
            <c:strRef>
              <c:f>'Tempo de passagem'!$P$6</c:f>
              <c:strCache>
                <c:ptCount val="1"/>
                <c:pt idx="0">
                  <c:v>Et(t)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'Tempo de passagem'!$D$7:$D$16</c:f>
              <c:numCache>
                <c:formatCode>General</c:formatCode>
                <c:ptCount val="10"/>
                <c:pt idx="0">
                  <c:v>5.079</c:v>
                </c:pt>
                <c:pt idx="1">
                  <c:v>4.591</c:v>
                </c:pt>
                <c:pt idx="2">
                  <c:v>4.133</c:v>
                </c:pt>
                <c:pt idx="3">
                  <c:v>3.728</c:v>
                </c:pt>
                <c:pt idx="4">
                  <c:v>3.036</c:v>
                </c:pt>
                <c:pt idx="5">
                  <c:v>5.463</c:v>
                </c:pt>
                <c:pt idx="6">
                  <c:v>5.803</c:v>
                </c:pt>
                <c:pt idx="7">
                  <c:v>6.163</c:v>
                </c:pt>
                <c:pt idx="8">
                  <c:v>6.447</c:v>
                </c:pt>
                <c:pt idx="9">
                  <c:v>2.181</c:v>
                </c:pt>
              </c:numCache>
            </c:numRef>
          </c:xVal>
          <c:yVal>
            <c:numRef>
              <c:f>'Tempo de passagem'!$P$7:$P$16</c:f>
              <c:numCache>
                <c:formatCode>General</c:formatCode>
                <c:ptCount val="10"/>
                <c:pt idx="0">
                  <c:v>0.00302791666666667</c:v>
                </c:pt>
                <c:pt idx="1">
                  <c:v>0.00248355998576006</c:v>
                </c:pt>
                <c:pt idx="2">
                  <c:v>0.00207381688466112</c:v>
                </c:pt>
                <c:pt idx="3">
                  <c:v>0.0016512</c:v>
                </c:pt>
                <c:pt idx="4">
                  <c:v>0.00111782086204134</c:v>
                </c:pt>
                <c:pt idx="5">
                  <c:v>0.00344509629629629</c:v>
                </c:pt>
                <c:pt idx="6">
                  <c:v>0.00415010113027959</c:v>
                </c:pt>
                <c:pt idx="7">
                  <c:v>0.0043602</c:v>
                </c:pt>
                <c:pt idx="8">
                  <c:v>0.0043602</c:v>
                </c:pt>
                <c:pt idx="9">
                  <c:v>0.000524768524961092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95-47E0-9FEF-6A8443D4F771}"/>
            </c:ext>
          </c:extLst>
        </c:ser>
        <c:ser>
          <c:idx val="1"/>
          <c:order val="1"/>
          <c:tx>
            <c:strRef>
              <c:f>'Tempo de passagem'!$Q$6</c:f>
              <c:strCache>
                <c:ptCount val="1"/>
                <c:pt idx="0">
                  <c:v>Er(t)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'Tempo de passagem'!$D$7:$D$16</c:f>
              <c:numCache>
                <c:formatCode>General</c:formatCode>
                <c:ptCount val="10"/>
                <c:pt idx="0">
                  <c:v>5.079</c:v>
                </c:pt>
                <c:pt idx="1">
                  <c:v>4.591</c:v>
                </c:pt>
                <c:pt idx="2">
                  <c:v>4.133</c:v>
                </c:pt>
                <c:pt idx="3">
                  <c:v>3.728</c:v>
                </c:pt>
                <c:pt idx="4">
                  <c:v>3.036</c:v>
                </c:pt>
                <c:pt idx="5">
                  <c:v>5.463</c:v>
                </c:pt>
                <c:pt idx="6">
                  <c:v>5.803</c:v>
                </c:pt>
                <c:pt idx="7">
                  <c:v>6.163</c:v>
                </c:pt>
                <c:pt idx="8">
                  <c:v>6.447</c:v>
                </c:pt>
                <c:pt idx="9">
                  <c:v>2.181</c:v>
                </c:pt>
              </c:numCache>
            </c:numRef>
          </c:xVal>
          <c:yVal>
            <c:numRef>
              <c:f>'Tempo de passagem'!$Q$7:$Q$16</c:f>
              <c:numCache>
                <c:formatCode>General</c:formatCode>
                <c:ptCount val="10"/>
                <c:pt idx="0">
                  <c:v>1.387878081981745</c:v>
                </c:pt>
                <c:pt idx="1">
                  <c:v>1.138366358449961</c:v>
                </c:pt>
                <c:pt idx="2">
                  <c:v>0.950556213105215</c:v>
                </c:pt>
                <c:pt idx="3">
                  <c:v>0.756845230978921</c:v>
                </c:pt>
                <c:pt idx="4">
                  <c:v>0.512365182003836</c:v>
                </c:pt>
                <c:pt idx="5">
                  <c:v>1.579096839943675</c:v>
                </c:pt>
                <c:pt idx="6">
                  <c:v>1.90224336757046</c:v>
                </c:pt>
                <c:pt idx="7">
                  <c:v>1.998544438053715</c:v>
                </c:pt>
                <c:pt idx="8">
                  <c:v>1.998544438053715</c:v>
                </c:pt>
                <c:pt idx="9">
                  <c:v>0.240533282149131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B95-47E0-9FEF-6A8443D4F771}"/>
            </c:ext>
          </c:extLst>
        </c:ser>
        <c:ser>
          <c:idx val="2"/>
          <c:order val="2"/>
          <c:tx>
            <c:strRef>
              <c:f>'Tempo de passagem'!$O$6</c:f>
              <c:strCache>
                <c:ptCount val="1"/>
                <c:pt idx="0">
                  <c:v>Ep(t)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'Tempo de passagem'!$D$7:$D$16</c:f>
              <c:numCache>
                <c:formatCode>General</c:formatCode>
                <c:ptCount val="10"/>
                <c:pt idx="0">
                  <c:v>5.079</c:v>
                </c:pt>
                <c:pt idx="1">
                  <c:v>4.591</c:v>
                </c:pt>
                <c:pt idx="2">
                  <c:v>4.133</c:v>
                </c:pt>
                <c:pt idx="3">
                  <c:v>3.728</c:v>
                </c:pt>
                <c:pt idx="4">
                  <c:v>3.036</c:v>
                </c:pt>
                <c:pt idx="5">
                  <c:v>5.463</c:v>
                </c:pt>
                <c:pt idx="6">
                  <c:v>5.803</c:v>
                </c:pt>
                <c:pt idx="7">
                  <c:v>6.163</c:v>
                </c:pt>
                <c:pt idx="8">
                  <c:v>6.447</c:v>
                </c:pt>
                <c:pt idx="9">
                  <c:v>2.181</c:v>
                </c:pt>
              </c:numCache>
            </c:numRef>
          </c:xVal>
          <c:yVal>
            <c:numRef>
              <c:f>'Tempo de passagem'!$O$7:$O$16</c:f>
              <c:numCache>
                <c:formatCode>General</c:formatCode>
                <c:ptCount val="10"/>
                <c:pt idx="0">
                  <c:v>-1.51704</c:v>
                </c:pt>
                <c:pt idx="1">
                  <c:v>-1.2642</c:v>
                </c:pt>
                <c:pt idx="2">
                  <c:v>-1.01136</c:v>
                </c:pt>
                <c:pt idx="3">
                  <c:v>-0.75852</c:v>
                </c:pt>
                <c:pt idx="4">
                  <c:v>-0.50568</c:v>
                </c:pt>
                <c:pt idx="5">
                  <c:v>-1.76988</c:v>
                </c:pt>
                <c:pt idx="6">
                  <c:v>-2.022720000000001</c:v>
                </c:pt>
                <c:pt idx="7">
                  <c:v>-2.27556</c:v>
                </c:pt>
                <c:pt idx="8">
                  <c:v>-2.5284</c:v>
                </c:pt>
                <c:pt idx="9">
                  <c:v>-0.25284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B95-47E0-9FEF-6A8443D4F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694544"/>
        <c:axId val="1745697024"/>
      </c:scatterChart>
      <c:valAx>
        <c:axId val="174569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45697024"/>
        <c:crosses val="autoZero"/>
        <c:crossBetween val="midCat"/>
      </c:valAx>
      <c:valAx>
        <c:axId val="174569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45694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534866</xdr:colOff>
      <xdr:row>5</xdr:row>
      <xdr:rowOff>134549</xdr:rowOff>
    </xdr:from>
    <xdr:to>
      <xdr:col>20</xdr:col>
      <xdr:colOff>384983</xdr:colOff>
      <xdr:row>22</xdr:row>
      <xdr:rowOff>9606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GrpSpPr/>
      </xdr:nvGrpSpPr>
      <xdr:grpSpPr>
        <a:xfrm>
          <a:off x="8354773" y="1169364"/>
          <a:ext cx="5776784" cy="3202927"/>
          <a:chOff x="6573028" y="1074207"/>
          <a:chExt cx="6225560" cy="3603720"/>
        </a:xfrm>
      </xdr:grpSpPr>
      <xdr:graphicFrame macro="">
        <xdr:nvGraphicFramePr>
          <xdr:cNvPr id="17" name="Gráfico 16">
            <a:extLst>
              <a:ext uri="{FF2B5EF4-FFF2-40B4-BE49-F238E27FC236}">
                <a16:creationId xmlns:a16="http://schemas.microsoft.com/office/drawing/2014/main" xmlns="" id="{00000000-0008-0000-0100-000011000000}"/>
              </a:ext>
            </a:extLst>
          </xdr:cNvPr>
          <xdr:cNvGraphicFramePr/>
        </xdr:nvGraphicFramePr>
        <xdr:xfrm>
          <a:off x="6573028" y="1074207"/>
          <a:ext cx="6225560" cy="36037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3" name="CaixaDeTexto 12">
            <a:extLst>
              <a:ext uri="{FF2B5EF4-FFF2-40B4-BE49-F238E27FC236}">
                <a16:creationId xmlns:a16="http://schemas.microsoft.com/office/drawing/2014/main" xmlns="" id="{00000000-0008-0000-0100-00000D000000}"/>
              </a:ext>
            </a:extLst>
          </xdr:cNvPr>
          <xdr:cNvSpPr txBox="1"/>
        </xdr:nvSpPr>
        <xdr:spPr>
          <a:xfrm>
            <a:off x="11410758" y="4286290"/>
            <a:ext cx="1201896" cy="2593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PT" sz="1100"/>
              <a:t>t(s)</a:t>
            </a:r>
          </a:p>
        </xdr:txBody>
      </xdr:sp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xmlns="" id="{00000000-0008-0000-0100-00000E000000}"/>
              </a:ext>
            </a:extLst>
          </xdr:cNvPr>
          <xdr:cNvSpPr txBox="1"/>
        </xdr:nvSpPr>
        <xdr:spPr>
          <a:xfrm>
            <a:off x="6600073" y="1390480"/>
            <a:ext cx="540927" cy="35748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PT" sz="1100"/>
              <a:t>s</a:t>
            </a:r>
            <a:r>
              <a:rPr lang="pt-PT" sz="1100" baseline="0"/>
              <a:t>(m)</a:t>
            </a:r>
            <a:endParaRPr lang="pt-PT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317002</xdr:colOff>
      <xdr:row>5</xdr:row>
      <xdr:rowOff>9181</xdr:rowOff>
    </xdr:from>
    <xdr:to>
      <xdr:col>29</xdr:col>
      <xdr:colOff>52039</xdr:colOff>
      <xdr:row>19</xdr:row>
      <xdr:rowOff>171615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GrpSpPr/>
      </xdr:nvGrpSpPr>
      <xdr:grpSpPr>
        <a:xfrm>
          <a:off x="14581823" y="984360"/>
          <a:ext cx="6311823" cy="2895201"/>
          <a:chOff x="9401656" y="1105540"/>
          <a:chExt cx="6532733" cy="3144119"/>
        </a:xfrm>
      </xdr:grpSpPr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xmlns="" id="{00000000-0008-0000-0200-000004000000}"/>
              </a:ext>
            </a:extLst>
          </xdr:cNvPr>
          <xdr:cNvGraphicFramePr/>
        </xdr:nvGraphicFramePr>
        <xdr:xfrm>
          <a:off x="9410792" y="1105540"/>
          <a:ext cx="6523597" cy="31441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" name="CaixaDeTexto 4">
            <a:extLst>
              <a:ext uri="{FF2B5EF4-FFF2-40B4-BE49-F238E27FC236}">
                <a16:creationId xmlns:a16="http://schemas.microsoft.com/office/drawing/2014/main" xmlns="" id="{00000000-0008-0000-0200-000005000000}"/>
              </a:ext>
            </a:extLst>
          </xdr:cNvPr>
          <xdr:cNvSpPr txBox="1"/>
        </xdr:nvSpPr>
        <xdr:spPr>
          <a:xfrm>
            <a:off x="9401656" y="1461872"/>
            <a:ext cx="557338" cy="31978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PT" sz="1100"/>
              <a:t>v(m/s)</a:t>
            </a:r>
          </a:p>
        </xdr:txBody>
      </xdr:sp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xmlns="" id="{00000000-0008-0000-0200-000006000000}"/>
              </a:ext>
            </a:extLst>
          </xdr:cNvPr>
          <xdr:cNvSpPr txBox="1"/>
        </xdr:nvSpPr>
        <xdr:spPr>
          <a:xfrm>
            <a:off x="15395324" y="3679163"/>
            <a:ext cx="383741" cy="30151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PT" sz="1100"/>
              <a:t>t(s)</a:t>
            </a:r>
          </a:p>
        </xdr:txBody>
      </xdr:sp>
    </xdr:grpSp>
    <xdr:clientData/>
  </xdr:twoCellAnchor>
  <xdr:twoCellAnchor>
    <xdr:from>
      <xdr:col>13</xdr:col>
      <xdr:colOff>366375</xdr:colOff>
      <xdr:row>23</xdr:row>
      <xdr:rowOff>8466</xdr:rowOff>
    </xdr:from>
    <xdr:to>
      <xdr:col>14</xdr:col>
      <xdr:colOff>472594</xdr:colOff>
      <xdr:row>27</xdr:row>
      <xdr:rowOff>183957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xmlns="" id="{0CC92826-950B-DC52-16DF-95EAAF09CE66}"/>
            </a:ext>
          </a:extLst>
        </xdr:cNvPr>
        <xdr:cNvSpPr txBox="1"/>
      </xdr:nvSpPr>
      <xdr:spPr>
        <a:xfrm>
          <a:off x="9117830" y="4295678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  <xdr:twoCellAnchor>
    <xdr:from>
      <xdr:col>9</xdr:col>
      <xdr:colOff>623455</xdr:colOff>
      <xdr:row>18</xdr:row>
      <xdr:rowOff>161635</xdr:rowOff>
    </xdr:from>
    <xdr:to>
      <xdr:col>17</xdr:col>
      <xdr:colOff>69520</xdr:colOff>
      <xdr:row>33</xdr:row>
      <xdr:rowOff>66963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xmlns="" id="{8336B117-6C81-35C3-A029-2D7415A7C580}"/>
            </a:ext>
          </a:extLst>
        </xdr:cNvPr>
        <xdr:cNvGrpSpPr/>
      </xdr:nvGrpSpPr>
      <xdr:grpSpPr>
        <a:xfrm>
          <a:off x="7324973" y="3676814"/>
          <a:ext cx="5694011" cy="2796845"/>
          <a:chOff x="8070667" y="3609878"/>
          <a:chExt cx="4445951" cy="2676237"/>
        </a:xfrm>
      </xdr:grpSpPr>
      <xdr:graphicFrame macro="">
        <xdr:nvGraphicFramePr>
          <xdr:cNvPr id="9" name="Gráfico 8">
            <a:extLst>
              <a:ext uri="{FF2B5EF4-FFF2-40B4-BE49-F238E27FC236}">
                <a16:creationId xmlns:a16="http://schemas.microsoft.com/office/drawing/2014/main" xmlns="" id="{11EE5638-07EF-651A-A48C-82DC6505D137}"/>
              </a:ext>
            </a:extLst>
          </xdr:cNvPr>
          <xdr:cNvGraphicFramePr/>
        </xdr:nvGraphicFramePr>
        <xdr:xfrm>
          <a:off x="8070667" y="3609878"/>
          <a:ext cx="4385930" cy="26762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xmlns="" id="{93DC985A-1639-BE0D-7AA8-493F8665B836}"/>
              </a:ext>
            </a:extLst>
          </xdr:cNvPr>
          <xdr:cNvSpPr txBox="1"/>
        </xdr:nvSpPr>
        <xdr:spPr>
          <a:xfrm>
            <a:off x="11885463" y="5942061"/>
            <a:ext cx="63115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PT" sz="1100"/>
              <a:t>t(s)</a:t>
            </a:r>
          </a:p>
        </xdr:txBody>
      </xdr:sp>
    </xdr:grp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0.01395</cdr:x>
      <cdr:y>0.08361</cdr:y>
    </cdr:from>
    <cdr:to>
      <cdr:x>0.18663</cdr:x>
      <cdr:y>0.41695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xmlns="" id="{FEB2FA40-8F4F-AD3B-4E5D-B31E9C982EC5}"/>
            </a:ext>
          </a:extLst>
        </cdr:cNvPr>
        <cdr:cNvSpPr txBox="1"/>
      </cdr:nvSpPr>
      <cdr:spPr>
        <a:xfrm xmlns:a="http://schemas.openxmlformats.org/drawingml/2006/main">
          <a:off x="73891" y="22937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PT" sz="1100"/>
            <a:t>E(J)</a:t>
          </a:r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zoomScale="158" workbookViewId="0">
      <selection activeCell="B9" sqref="B9"/>
    </sheetView>
  </sheetViews>
  <sheetFormatPr baseColWidth="10" defaultColWidth="8.6640625" defaultRowHeight="15" x14ac:dyDescent="0.2"/>
  <cols>
    <col min="1" max="1" width="12" bestFit="1" customWidth="1"/>
    <col min="2" max="2" width="14.33203125" customWidth="1"/>
  </cols>
  <sheetData>
    <row r="1" spans="1:3" x14ac:dyDescent="0.2">
      <c r="A1" s="8" t="s">
        <v>19</v>
      </c>
      <c r="B1" s="9" t="s">
        <v>20</v>
      </c>
      <c r="C1" s="10" t="s">
        <v>21</v>
      </c>
    </row>
    <row r="2" spans="1:3" ht="16" thickBot="1" x14ac:dyDescent="0.25">
      <c r="A2" s="4"/>
      <c r="B2" s="5"/>
      <c r="C2" s="7"/>
    </row>
    <row r="4" spans="1:3" x14ac:dyDescent="0.2">
      <c r="A4" s="1" t="s">
        <v>15</v>
      </c>
      <c r="B4" s="3">
        <v>0.51600000000000001</v>
      </c>
      <c r="C4" t="s">
        <v>32</v>
      </c>
    </row>
    <row r="5" spans="1:3" x14ac:dyDescent="0.2">
      <c r="A5" s="1" t="s">
        <v>16</v>
      </c>
      <c r="B5" s="3">
        <v>6.4399999999999999E-2</v>
      </c>
    </row>
    <row r="6" spans="1:3" x14ac:dyDescent="0.2">
      <c r="A6" s="1" t="s">
        <v>17</v>
      </c>
      <c r="B6" s="3">
        <v>5.7500000000000002E-2</v>
      </c>
    </row>
    <row r="7" spans="1:3" x14ac:dyDescent="0.2">
      <c r="A7" s="1" t="s">
        <v>28</v>
      </c>
      <c r="B7" s="3">
        <v>2.5999999999999999E-3</v>
      </c>
    </row>
    <row r="8" spans="1:3" x14ac:dyDescent="0.2">
      <c r="A8" s="1"/>
    </row>
    <row r="9" spans="1:3" x14ac:dyDescent="0.2">
      <c r="A9" s="1" t="s">
        <v>18</v>
      </c>
      <c r="B9" s="3">
        <v>1.923E-3</v>
      </c>
    </row>
    <row r="10" spans="1:3" x14ac:dyDescent="0.2">
      <c r="B10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zoomScale="108" zoomScaleNormal="130" workbookViewId="0">
      <selection activeCell="G7" sqref="G7"/>
    </sheetView>
  </sheetViews>
  <sheetFormatPr baseColWidth="10" defaultColWidth="8.6640625" defaultRowHeight="15" x14ac:dyDescent="0.2"/>
  <cols>
    <col min="4" max="4" width="9.6640625" bestFit="1" customWidth="1"/>
    <col min="6" max="6" width="15.1640625" customWidth="1"/>
  </cols>
  <sheetData>
    <row r="1" spans="1:11" ht="21" x14ac:dyDescent="0.25">
      <c r="A1" s="1" t="s">
        <v>22</v>
      </c>
      <c r="D1" s="11" t="s">
        <v>25</v>
      </c>
    </row>
    <row r="2" spans="1:11" x14ac:dyDescent="0.2">
      <c r="A2" s="1" t="s">
        <v>12</v>
      </c>
      <c r="B2">
        <v>2</v>
      </c>
    </row>
    <row r="3" spans="1:11" s="1" customFormat="1" x14ac:dyDescent="0.2">
      <c r="A3" s="1" t="s">
        <v>13</v>
      </c>
      <c r="B3" s="1">
        <v>0</v>
      </c>
      <c r="D3" s="24" t="s">
        <v>1</v>
      </c>
      <c r="E3" s="25"/>
      <c r="F3" s="25"/>
    </row>
    <row r="5" spans="1:11" ht="16" thickBot="1" x14ac:dyDescent="0.25">
      <c r="C5" t="s">
        <v>40</v>
      </c>
      <c r="D5" s="2" t="s">
        <v>8</v>
      </c>
      <c r="E5" s="2" t="s">
        <v>4</v>
      </c>
      <c r="I5" s="2" t="s">
        <v>24</v>
      </c>
      <c r="K5" t="s">
        <v>10</v>
      </c>
    </row>
    <row r="6" spans="1:11" s="2" customFormat="1" ht="16" thickBot="1" x14ac:dyDescent="0.25">
      <c r="C6" s="2">
        <v>1.4391728646206839E-3</v>
      </c>
      <c r="D6" s="14" t="s">
        <v>5</v>
      </c>
      <c r="E6" s="15" t="s">
        <v>14</v>
      </c>
      <c r="F6" s="15" t="s">
        <v>0</v>
      </c>
      <c r="G6" s="15" t="s">
        <v>11</v>
      </c>
      <c r="H6" s="17" t="s">
        <v>23</v>
      </c>
      <c r="I6" s="16">
        <f>SUM(H7:H16)</f>
        <v>5.0689000684523047E-2</v>
      </c>
    </row>
    <row r="7" spans="1:11" ht="16" thickBot="1" x14ac:dyDescent="0.25">
      <c r="D7" s="21">
        <v>5.0789999999999997</v>
      </c>
      <c r="E7" s="13">
        <v>0.3</v>
      </c>
      <c r="F7" s="22" t="s">
        <v>33</v>
      </c>
      <c r="G7" s="13">
        <f>(0.5*((0.516*9.8)/(0.516+(inercia/(0.0026*0.0026))))) *(D7^2)</f>
        <v>0.30562199359899628</v>
      </c>
      <c r="H7" s="3">
        <f>ABS(E7-G7)</f>
        <v>5.6219935989962888E-3</v>
      </c>
      <c r="I7" s="16"/>
    </row>
    <row r="8" spans="1:11" ht="16" thickBot="1" x14ac:dyDescent="0.25">
      <c r="A8">
        <f>(0.5*((0.516*9.8)/(0.516+(inercia/(0.0026*0.0026)))))</f>
        <v>1.1847539864393276E-2</v>
      </c>
      <c r="D8" s="3">
        <v>4.5910000000000002</v>
      </c>
      <c r="E8" s="3">
        <v>0.25</v>
      </c>
      <c r="F8" s="6">
        <v>5.0000000000000001E-3</v>
      </c>
      <c r="G8" s="13">
        <f>(0.5*((0.516*9.8)/(0.516+(inercia/(0.0026*0.0026))))) *(D8^2)</f>
        <v>0.24971392688051902</v>
      </c>
      <c r="H8" s="3">
        <f t="shared" ref="H8:H16" si="0">ABS(E8-G8)</f>
        <v>2.8607311948097847E-4</v>
      </c>
      <c r="I8" s="16"/>
    </row>
    <row r="9" spans="1:11" ht="16" thickBot="1" x14ac:dyDescent="0.25">
      <c r="D9" s="3">
        <v>4.133</v>
      </c>
      <c r="E9" s="3">
        <v>0.2</v>
      </c>
      <c r="F9" s="6">
        <v>5.0000000000000001E-3</v>
      </c>
      <c r="G9" s="13">
        <f>(0.5*((0.516*9.8)/(0.516+(inercia/(0.0026*0.0026))))) *(D9^2)</f>
        <v>0.20237599137866813</v>
      </c>
      <c r="H9" s="3">
        <f t="shared" si="0"/>
        <v>2.3759913786681186E-3</v>
      </c>
      <c r="I9" s="16"/>
    </row>
    <row r="10" spans="1:11" ht="16" thickBot="1" x14ac:dyDescent="0.25">
      <c r="D10" s="3">
        <v>3.7280000000000002</v>
      </c>
      <c r="E10" s="3">
        <v>0.15</v>
      </c>
      <c r="F10" s="6">
        <v>5.0000000000000001E-3</v>
      </c>
      <c r="G10" s="13">
        <f>(0.5*((0.516*9.8)/(0.516+(inercia/(0.0026*0.0026))))) *(D10^2)</f>
        <v>0.16465691947469993</v>
      </c>
      <c r="H10" s="3">
        <f t="shared" si="0"/>
        <v>1.4656919474699937E-2</v>
      </c>
      <c r="I10" s="16"/>
    </row>
    <row r="11" spans="1:11" ht="16" thickBot="1" x14ac:dyDescent="0.25">
      <c r="D11" s="3">
        <v>3.036</v>
      </c>
      <c r="E11" s="3">
        <v>0.1</v>
      </c>
      <c r="F11" s="6">
        <v>5.0000000000000001E-3</v>
      </c>
      <c r="G11" s="13">
        <f>(0.5*((0.516*9.8)/(0.516+(inercia/(0.0026*0.0026))))) *(D11^2)</f>
        <v>0.1092022818019127</v>
      </c>
      <c r="H11" s="3">
        <f t="shared" si="0"/>
        <v>9.2022818019126956E-3</v>
      </c>
      <c r="I11" s="16"/>
    </row>
    <row r="12" spans="1:11" ht="16" thickBot="1" x14ac:dyDescent="0.25">
      <c r="D12" s="3">
        <v>5.4630000000000001</v>
      </c>
      <c r="E12" s="20">
        <v>0.35</v>
      </c>
      <c r="F12" s="6">
        <v>5.0000000000000001E-3</v>
      </c>
      <c r="G12" s="13">
        <f>(0.5*((0.516*9.8)/(0.516+(inercia/(0.0026*0.0026))))) *(D12^2)</f>
        <v>0.35358235145516292</v>
      </c>
      <c r="H12" s="3">
        <f t="shared" si="0"/>
        <v>3.5823514551629465E-3</v>
      </c>
      <c r="I12" s="16"/>
    </row>
    <row r="13" spans="1:11" ht="16" thickBot="1" x14ac:dyDescent="0.25">
      <c r="D13" s="3">
        <v>5.8029999999999999</v>
      </c>
      <c r="E13" s="3">
        <v>0.4</v>
      </c>
      <c r="F13" s="6">
        <v>5.0000000000000001E-3</v>
      </c>
      <c r="G13" s="13">
        <f>(0.5*((0.516*9.8)/(0.516+(inercia/(0.0026*0.0026))))) *(D13^2)</f>
        <v>0.39896364205332946</v>
      </c>
      <c r="H13" s="3">
        <f t="shared" si="0"/>
        <v>1.036357946670563E-3</v>
      </c>
      <c r="I13" s="16"/>
    </row>
    <row r="14" spans="1:11" ht="16" thickBot="1" x14ac:dyDescent="0.25">
      <c r="D14" s="20">
        <v>6.1630000000000003</v>
      </c>
      <c r="E14" s="3">
        <v>0.45</v>
      </c>
      <c r="F14" s="6">
        <v>5.0000000000000001E-3</v>
      </c>
      <c r="G14" s="13">
        <f>(0.5*((0.516*9.8)/(0.516+(inercia/(0.0026*0.0026))))) *(D14^2)</f>
        <v>0.45000000037956833</v>
      </c>
      <c r="H14" s="3">
        <f t="shared" si="0"/>
        <v>3.7956832121821549E-10</v>
      </c>
      <c r="I14" s="16"/>
    </row>
    <row r="15" spans="1:11" ht="16" thickBot="1" x14ac:dyDescent="0.25">
      <c r="D15" s="3">
        <v>6.4470000000000001</v>
      </c>
      <c r="E15" s="20">
        <v>0.5</v>
      </c>
      <c r="F15" s="6">
        <v>5.0000000000000001E-3</v>
      </c>
      <c r="G15" s="13">
        <f>(0.5*((0.516*9.8)/(0.516+(inercia/(0.0026*0.0026))))) *(D15^2)</f>
        <v>0.49242888404352803</v>
      </c>
      <c r="H15" s="3">
        <f t="shared" si="0"/>
        <v>7.5711159564719743E-3</v>
      </c>
      <c r="I15" s="16"/>
    </row>
    <row r="16" spans="1:11" ht="16" thickBot="1" x14ac:dyDescent="0.25">
      <c r="D16" s="3">
        <v>2.181</v>
      </c>
      <c r="E16" s="3">
        <v>0.05</v>
      </c>
      <c r="F16" s="6">
        <v>5.0000000000000001E-3</v>
      </c>
      <c r="G16" s="13">
        <f>(0.5*((0.516*9.8)/(0.516+(inercia/(0.0026*0.0026))))) *(D16^2)</f>
        <v>5.6355915572891227E-2</v>
      </c>
      <c r="H16" s="3">
        <f t="shared" si="0"/>
        <v>6.3559155728912242E-3</v>
      </c>
      <c r="I16" s="16"/>
    </row>
    <row r="17" spans="4:10" x14ac:dyDescent="0.2">
      <c r="D17" s="12" t="s">
        <v>29</v>
      </c>
    </row>
    <row r="26" spans="4:10" x14ac:dyDescent="0.2">
      <c r="J26" t="s">
        <v>34</v>
      </c>
    </row>
    <row r="27" spans="4:10" x14ac:dyDescent="0.2">
      <c r="J27" t="s">
        <v>35</v>
      </c>
    </row>
  </sheetData>
  <mergeCells count="1">
    <mergeCell ref="D3:F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zoomScale="112" workbookViewId="0">
      <selection activeCell="S25" sqref="S25"/>
    </sheetView>
  </sheetViews>
  <sheetFormatPr baseColWidth="10" defaultColWidth="8.6640625" defaultRowHeight="15" x14ac:dyDescent="0.2"/>
  <cols>
    <col min="6" max="6" width="11.1640625" bestFit="1" customWidth="1"/>
    <col min="8" max="8" width="11.5" bestFit="1" customWidth="1"/>
    <col min="9" max="9" width="13.5" bestFit="1" customWidth="1"/>
    <col min="10" max="10" width="12.6640625" bestFit="1" customWidth="1"/>
    <col min="14" max="14" width="11.6640625" bestFit="1" customWidth="1"/>
    <col min="15" max="16" width="11.6640625" customWidth="1"/>
  </cols>
  <sheetData>
    <row r="1" spans="1:18" x14ac:dyDescent="0.2">
      <c r="A1" s="1" t="s">
        <v>22</v>
      </c>
    </row>
    <row r="2" spans="1:18" x14ac:dyDescent="0.2">
      <c r="A2" s="1" t="s">
        <v>12</v>
      </c>
      <c r="B2">
        <v>2</v>
      </c>
      <c r="D2" s="1" t="s">
        <v>2</v>
      </c>
    </row>
    <row r="3" spans="1:18" s="1" customFormat="1" x14ac:dyDescent="0.2">
      <c r="A3" s="1" t="s">
        <v>13</v>
      </c>
      <c r="B3" s="1">
        <v>0</v>
      </c>
      <c r="D3" s="1" t="s">
        <v>1</v>
      </c>
    </row>
    <row r="4" spans="1:18" s="1" customFormat="1" x14ac:dyDescent="0.2"/>
    <row r="5" spans="1:18" ht="16" thickBot="1" x14ac:dyDescent="0.25">
      <c r="B5" t="s">
        <v>41</v>
      </c>
      <c r="D5" s="2" t="s">
        <v>8</v>
      </c>
      <c r="E5" s="1"/>
      <c r="F5" s="1"/>
      <c r="G5" s="1"/>
      <c r="H5" s="1"/>
      <c r="I5" s="2" t="s">
        <v>9</v>
      </c>
      <c r="M5" s="2" t="s">
        <v>24</v>
      </c>
    </row>
    <row r="6" spans="1:18" s="2" customFormat="1" ht="18" thickBot="1" x14ac:dyDescent="0.25">
      <c r="B6" s="2">
        <v>1.5988355504429712E-3</v>
      </c>
      <c r="C6" s="2" t="s">
        <v>39</v>
      </c>
      <c r="D6" s="19" t="s">
        <v>30</v>
      </c>
      <c r="E6" s="15" t="s">
        <v>26</v>
      </c>
      <c r="F6" s="15" t="s">
        <v>0</v>
      </c>
      <c r="G6" s="15" t="s">
        <v>3</v>
      </c>
      <c r="H6" s="15" t="s">
        <v>6</v>
      </c>
      <c r="I6" s="15" t="s">
        <v>27</v>
      </c>
      <c r="J6" s="15" t="s">
        <v>7</v>
      </c>
      <c r="K6" s="15" t="s">
        <v>11</v>
      </c>
      <c r="L6" s="15" t="s">
        <v>23</v>
      </c>
      <c r="M6" s="16">
        <f>SUM(L7:L16)</f>
        <v>1.7663817132824208E-2</v>
      </c>
      <c r="N6" s="23" t="s">
        <v>42</v>
      </c>
      <c r="O6" s="2" t="s">
        <v>36</v>
      </c>
      <c r="P6" s="2" t="s">
        <v>37</v>
      </c>
      <c r="Q6" s="2" t="s">
        <v>38</v>
      </c>
      <c r="R6" t="s">
        <v>10</v>
      </c>
    </row>
    <row r="7" spans="1:18" x14ac:dyDescent="0.2">
      <c r="C7">
        <f t="shared" ref="C7:C16" si="0">I7/Raio_eixo</f>
        <v>41.666666666666664</v>
      </c>
      <c r="D7" s="21">
        <v>5.0789999999999997</v>
      </c>
      <c r="E7" s="13">
        <v>0.3</v>
      </c>
      <c r="F7" s="18">
        <v>5.0000000000000001E-4</v>
      </c>
      <c r="G7" s="13">
        <v>4.8000000000000001E-2</v>
      </c>
      <c r="H7" s="18">
        <v>1E-3</v>
      </c>
      <c r="I7" s="13">
        <f t="shared" ref="I7:I16" si="1">2*Raio_eixo/G7</f>
        <v>0.10833333333333332</v>
      </c>
      <c r="J7" s="18">
        <f>SQRT((((-E7/D7)*G7)^2) + (((1/D7)*E7)^2))</f>
        <v>5.9134751164283107E-2</v>
      </c>
      <c r="K7" s="13">
        <f>((0.516*9.8)/(0.516+(inercia2/(0.0026*0.0026))))*D7</f>
        <v>0.10835536685904855</v>
      </c>
      <c r="L7">
        <f>ABS(I7-K7)</f>
        <v>2.2033525715225988E-5</v>
      </c>
      <c r="N7">
        <f>O7+P7+Q7</f>
        <v>-0.12613400135158792</v>
      </c>
      <c r="O7">
        <f xml:space="preserve"> -0.516*9.8*E7</f>
        <v>-1.5170400000000002</v>
      </c>
      <c r="P7">
        <f>(0.516*(I7*I7))/2</f>
        <v>3.0279166666666662E-3</v>
      </c>
      <c r="Q7">
        <f>0.5*inercia2 *(C7*C7)</f>
        <v>1.3878780819817456</v>
      </c>
    </row>
    <row r="8" spans="1:18" x14ac:dyDescent="0.2">
      <c r="C8">
        <f t="shared" si="0"/>
        <v>37.735849056603769</v>
      </c>
      <c r="D8" s="3">
        <v>4.5910000000000002</v>
      </c>
      <c r="E8" s="3">
        <v>0.25</v>
      </c>
      <c r="F8" s="18">
        <v>5.0000000000000001E-4</v>
      </c>
      <c r="G8" s="3">
        <v>5.2999999999999999E-2</v>
      </c>
      <c r="H8" s="18">
        <v>1E-3</v>
      </c>
      <c r="I8" s="13">
        <f t="shared" si="1"/>
        <v>9.8113207547169803E-2</v>
      </c>
      <c r="J8" s="18">
        <f t="shared" ref="J8:J16" si="2">SQRT((((-E8/D8)*G8)^2) + (((1/D8)*E8)^2))</f>
        <v>5.4530794765449815E-2</v>
      </c>
      <c r="K8" s="13">
        <f>((0.516*9.8)/(0.516+(inercia2/(0.0026*0.0026))))*D8</f>
        <v>9.794437669814765E-2</v>
      </c>
      <c r="L8">
        <f t="shared" ref="L8:L16" si="3">ABS(I8-K8)</f>
        <v>1.6883084902215295E-4</v>
      </c>
      <c r="N8">
        <f t="shared" ref="N8:N16" si="4">O8+P8+Q8</f>
        <v>-0.12335008156427874</v>
      </c>
      <c r="O8">
        <f t="shared" ref="O8:O16" si="5" xml:space="preserve"> -0.516*9.8*E8</f>
        <v>-1.2642000000000002</v>
      </c>
      <c r="P8">
        <f t="shared" ref="P8:P16" si="6">(0.516*(I8*I8))/2</f>
        <v>2.4835599857600562E-3</v>
      </c>
      <c r="Q8">
        <f>0.5*inercia2 *(C8*C8)</f>
        <v>1.1383663584499615</v>
      </c>
    </row>
    <row r="9" spans="1:18" x14ac:dyDescent="0.2">
      <c r="C9">
        <f t="shared" si="0"/>
        <v>34.482758620689651</v>
      </c>
      <c r="D9" s="3">
        <v>4.133</v>
      </c>
      <c r="E9" s="3">
        <v>0.2</v>
      </c>
      <c r="F9" s="18">
        <v>5.0000000000000001E-4</v>
      </c>
      <c r="G9" s="3">
        <v>5.8000000000000003E-2</v>
      </c>
      <c r="H9" s="18">
        <v>1E-3</v>
      </c>
      <c r="I9" s="13">
        <f t="shared" si="1"/>
        <v>8.9655172413793088E-2</v>
      </c>
      <c r="J9" s="18">
        <f t="shared" si="2"/>
        <v>4.8472324597740264E-2</v>
      </c>
      <c r="K9" s="13">
        <f>((0.516*9.8)/(0.516+(inercia2/(0.0026*0.0026))))*D9</f>
        <v>8.8173406424187376E-2</v>
      </c>
      <c r="L9">
        <f t="shared" si="3"/>
        <v>1.4817659896057128E-3</v>
      </c>
      <c r="N9">
        <f t="shared" si="4"/>
        <v>-5.8729970010124588E-2</v>
      </c>
      <c r="O9">
        <f t="shared" si="5"/>
        <v>-1.0113600000000003</v>
      </c>
      <c r="P9">
        <f t="shared" si="6"/>
        <v>2.073816884661117E-3</v>
      </c>
      <c r="Q9">
        <f>0.5*inercia2 *(C9*C9)</f>
        <v>0.95055621310521465</v>
      </c>
    </row>
    <row r="10" spans="1:18" x14ac:dyDescent="0.2">
      <c r="C10">
        <f t="shared" si="0"/>
        <v>30.769230769230766</v>
      </c>
      <c r="D10" s="3">
        <v>3.7280000000000002</v>
      </c>
      <c r="E10" s="3">
        <v>0.15</v>
      </c>
      <c r="F10" s="18">
        <v>5.0000000000000001E-4</v>
      </c>
      <c r="G10" s="3">
        <v>6.5000000000000002E-2</v>
      </c>
      <c r="H10" s="18">
        <v>1E-3</v>
      </c>
      <c r="I10" s="13">
        <f t="shared" si="1"/>
        <v>7.9999999999999988E-2</v>
      </c>
      <c r="J10" s="18">
        <f t="shared" si="2"/>
        <v>4.0320960570271402E-2</v>
      </c>
      <c r="K10" s="13">
        <f>((0.516*9.8)/(0.516+(inercia2/(0.0026*0.0026))))*D10</f>
        <v>7.9533137950488872E-2</v>
      </c>
      <c r="L10">
        <f t="shared" si="3"/>
        <v>4.6686204951111587E-4</v>
      </c>
      <c r="N10">
        <f t="shared" si="4"/>
        <v>-2.3569021079028474E-5</v>
      </c>
      <c r="O10">
        <f t="shared" si="5"/>
        <v>-0.75852000000000008</v>
      </c>
      <c r="P10">
        <f t="shared" si="6"/>
        <v>1.6511999999999994E-3</v>
      </c>
      <c r="Q10">
        <f>0.5*inercia2 *(C10*C10)</f>
        <v>0.75684523097892109</v>
      </c>
    </row>
    <row r="11" spans="1:18" x14ac:dyDescent="0.2">
      <c r="C11">
        <f t="shared" si="0"/>
        <v>25.316455696202528</v>
      </c>
      <c r="D11" s="3">
        <v>3.036</v>
      </c>
      <c r="E11" s="3">
        <v>0.1</v>
      </c>
      <c r="F11" s="18">
        <v>5.0000000000000001E-4</v>
      </c>
      <c r="G11" s="3">
        <v>7.9000000000000001E-2</v>
      </c>
      <c r="H11" s="18">
        <v>1E-3</v>
      </c>
      <c r="I11" s="13">
        <f t="shared" si="1"/>
        <v>6.5822784810126572E-2</v>
      </c>
      <c r="J11" s="18">
        <f t="shared" si="2"/>
        <v>3.3040699814685E-2</v>
      </c>
      <c r="K11" s="13">
        <f>((0.516*9.8)/(0.516+(inercia2/(0.0026*0.0026))))*D11</f>
        <v>6.4770012558391696E-2</v>
      </c>
      <c r="L11">
        <f t="shared" si="3"/>
        <v>1.0527722517348764E-3</v>
      </c>
      <c r="N11">
        <f t="shared" si="4"/>
        <v>7.8030028658774286E-3</v>
      </c>
      <c r="O11">
        <f t="shared" si="5"/>
        <v>-0.50568000000000013</v>
      </c>
      <c r="P11">
        <f t="shared" si="6"/>
        <v>1.1178208620413392E-3</v>
      </c>
      <c r="Q11">
        <f>0.5*inercia2 *(C11*C11)</f>
        <v>0.51236518200383618</v>
      </c>
    </row>
    <row r="12" spans="1:18" x14ac:dyDescent="0.2">
      <c r="C12">
        <f t="shared" si="0"/>
        <v>44.444444444444443</v>
      </c>
      <c r="D12" s="3">
        <v>5.4630000000000001</v>
      </c>
      <c r="E12" s="20">
        <v>0.35</v>
      </c>
      <c r="F12" s="18">
        <v>5.0000000000000001E-4</v>
      </c>
      <c r="G12" s="3">
        <v>4.4999999999999998E-2</v>
      </c>
      <c r="H12" s="18">
        <v>1E-3</v>
      </c>
      <c r="I12" s="13">
        <f t="shared" si="1"/>
        <v>0.11555555555555555</v>
      </c>
      <c r="J12" s="18">
        <f t="shared" si="2"/>
        <v>6.413219765313409E-2</v>
      </c>
      <c r="K12" s="13">
        <f>((0.516*9.8)/(0.516+(inercia2/(0.0026*0.0026))))*D12</f>
        <v>0.11654762141188861</v>
      </c>
      <c r="L12">
        <f t="shared" si="3"/>
        <v>9.9206585633306033E-4</v>
      </c>
      <c r="N12">
        <f t="shared" si="4"/>
        <v>-0.18733806376002882</v>
      </c>
      <c r="O12">
        <f t="shared" si="5"/>
        <v>-1.7698800000000001</v>
      </c>
      <c r="P12">
        <f t="shared" si="6"/>
        <v>3.445096296296296E-3</v>
      </c>
      <c r="Q12">
        <f>0.5*inercia2 *(C12*C12)</f>
        <v>1.5790968399436751</v>
      </c>
    </row>
    <row r="13" spans="1:18" x14ac:dyDescent="0.2">
      <c r="C13">
        <f t="shared" si="0"/>
        <v>48.780487804878049</v>
      </c>
      <c r="D13" s="3">
        <v>5.8029999999999999</v>
      </c>
      <c r="E13" s="3">
        <v>0.4</v>
      </c>
      <c r="F13" s="18">
        <v>5.0000000000000001E-4</v>
      </c>
      <c r="G13" s="3">
        <v>4.1000000000000002E-2</v>
      </c>
      <c r="H13" s="18">
        <v>1E-3</v>
      </c>
      <c r="I13" s="13">
        <f t="shared" si="1"/>
        <v>0.12682926829268293</v>
      </c>
      <c r="J13" s="18">
        <f t="shared" si="2"/>
        <v>6.898777508712356E-2</v>
      </c>
      <c r="K13" s="13">
        <f>((0.516*9.8)/(0.516+(inercia2/(0.0026*0.0026))))*D13</f>
        <v>0.12380118013054907</v>
      </c>
      <c r="L13">
        <f t="shared" si="3"/>
        <v>3.0280881621338601E-3</v>
      </c>
      <c r="N13">
        <f t="shared" si="4"/>
        <v>-0.11632653129926118</v>
      </c>
      <c r="O13">
        <f t="shared" si="5"/>
        <v>-2.0227200000000005</v>
      </c>
      <c r="P13">
        <f t="shared" si="6"/>
        <v>4.1501011302795951E-3</v>
      </c>
      <c r="Q13">
        <f>0.5*inercia2 *(C13*C13)</f>
        <v>1.9022433675704595</v>
      </c>
    </row>
    <row r="14" spans="1:18" x14ac:dyDescent="0.2">
      <c r="C14">
        <f t="shared" si="0"/>
        <v>50.000000000000007</v>
      </c>
      <c r="D14" s="20">
        <v>6.1630000000000003</v>
      </c>
      <c r="E14" s="3">
        <v>0.45</v>
      </c>
      <c r="F14" s="18">
        <v>5.0000000000000001E-4</v>
      </c>
      <c r="G14" s="3">
        <v>0.04</v>
      </c>
      <c r="H14" s="18">
        <v>1E-3</v>
      </c>
      <c r="I14" s="13">
        <f t="shared" si="1"/>
        <v>0.13</v>
      </c>
      <c r="J14" s="18">
        <f t="shared" si="2"/>
        <v>7.3074777886594985E-2</v>
      </c>
      <c r="K14" s="13">
        <f>((0.516*9.8)/(0.516+(inercia2/(0.0026*0.0026))))*D14</f>
        <v>0.13148141877383662</v>
      </c>
      <c r="L14">
        <f t="shared" si="3"/>
        <v>1.481418773836618E-3</v>
      </c>
      <c r="N14">
        <f t="shared" si="4"/>
        <v>-0.27265536194628592</v>
      </c>
      <c r="O14">
        <f t="shared" si="5"/>
        <v>-2.2755600000000005</v>
      </c>
      <c r="P14">
        <f t="shared" si="6"/>
        <v>4.3602000000000007E-3</v>
      </c>
      <c r="Q14">
        <f>0.5*inercia2 *(C14*C14)</f>
        <v>1.9985444380537147</v>
      </c>
    </row>
    <row r="15" spans="1:18" x14ac:dyDescent="0.2">
      <c r="C15">
        <f t="shared" si="0"/>
        <v>50.000000000000007</v>
      </c>
      <c r="D15" s="3">
        <v>6.4470000000000001</v>
      </c>
      <c r="E15" s="20">
        <v>0.5</v>
      </c>
      <c r="F15" s="18">
        <v>5.0000000000000001E-4</v>
      </c>
      <c r="G15" s="3">
        <v>0.04</v>
      </c>
      <c r="H15" s="18">
        <v>1E-3</v>
      </c>
      <c r="I15" s="13">
        <f t="shared" si="1"/>
        <v>0.13</v>
      </c>
      <c r="J15" s="18">
        <f t="shared" si="2"/>
        <v>7.7617471712094321E-2</v>
      </c>
      <c r="K15" s="13">
        <f>((0.516*9.8)/(0.516+(inercia2/(0.0026*0.0026))))*D15</f>
        <v>0.13754027370354124</v>
      </c>
      <c r="L15">
        <f t="shared" si="3"/>
        <v>7.5402737035412393E-3</v>
      </c>
      <c r="N15">
        <f t="shared" si="4"/>
        <v>-0.52549536194628588</v>
      </c>
      <c r="O15">
        <f t="shared" si="5"/>
        <v>-2.5284000000000004</v>
      </c>
      <c r="P15">
        <f t="shared" si="6"/>
        <v>4.3602000000000007E-3</v>
      </c>
      <c r="Q15">
        <f>0.5*inercia2 *(C15*C15)</f>
        <v>1.9985444380537147</v>
      </c>
    </row>
    <row r="16" spans="1:18" x14ac:dyDescent="0.2">
      <c r="C16">
        <f t="shared" si="0"/>
        <v>17.346053772766695</v>
      </c>
      <c r="D16" s="3">
        <v>2.181</v>
      </c>
      <c r="E16" s="3">
        <v>0.05</v>
      </c>
      <c r="F16" s="18">
        <v>5.0000000000000001E-4</v>
      </c>
      <c r="G16" s="3">
        <v>0.1153</v>
      </c>
      <c r="H16" s="18">
        <v>1E-3</v>
      </c>
      <c r="I16" s="13">
        <f t="shared" si="1"/>
        <v>4.5099739809193407E-2</v>
      </c>
      <c r="J16" s="18">
        <f t="shared" si="2"/>
        <v>2.3077145782471619E-2</v>
      </c>
      <c r="K16" s="13">
        <f>((0.516*9.8)/(0.516+(inercia2/(0.0026*0.0026))))*D16</f>
        <v>4.6529445780583753E-2</v>
      </c>
      <c r="L16">
        <f t="shared" si="3"/>
        <v>1.4297059713903465E-3</v>
      </c>
      <c r="N16">
        <f t="shared" si="4"/>
        <v>-1.1781949325907898E-2</v>
      </c>
      <c r="O16">
        <f t="shared" si="5"/>
        <v>-0.25284000000000006</v>
      </c>
      <c r="P16">
        <f t="shared" si="6"/>
        <v>5.2476852496109174E-4</v>
      </c>
      <c r="Q16">
        <f>0.5*inercia2 *(C16*C16)</f>
        <v>0.24053328214913108</v>
      </c>
    </row>
    <row r="17" spans="2:21" x14ac:dyDescent="0.2">
      <c r="D17" s="12" t="s">
        <v>31</v>
      </c>
    </row>
    <row r="18" spans="2:21" x14ac:dyDescent="0.2">
      <c r="D18" s="12" t="s">
        <v>29</v>
      </c>
    </row>
    <row r="21" spans="2:21" x14ac:dyDescent="0.2">
      <c r="B21">
        <f>((0.516*9.8)/(0.516+(inercia2/(0.0026*0.0026))))</f>
        <v>2.1333996231354312E-2</v>
      </c>
    </row>
    <row r="24" spans="2:21" x14ac:dyDescent="0.2">
      <c r="U24" t="s">
        <v>34</v>
      </c>
    </row>
    <row r="25" spans="2:21" x14ac:dyDescent="0.2">
      <c r="U25" t="s">
        <v>35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Medições da Roda de Maxwell</vt:lpstr>
      <vt:lpstr>Tempo de Queda</vt:lpstr>
      <vt:lpstr>Tempo de passagem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2023-03-21T10:36:36Z</dcterms:modified>
</cp:coreProperties>
</file>