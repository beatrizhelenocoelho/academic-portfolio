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 filterPrivacy="1"/>
  <xr:revisionPtr revIDLastSave="0" documentId="13_ncr:1_{3305B2B4-C186-4E8D-A492-DFE3B0FF962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alculo Previo de Frequencias" sheetId="3" r:id="rId1"/>
    <sheet name="Regime Livre" sheetId="4" r:id="rId2"/>
    <sheet name="Regime Amortecido" sheetId="6" r:id="rId3"/>
    <sheet name="Regime Forçado" sheetId="5" r:id="rId4"/>
  </sheets>
  <definedNames>
    <definedName name="Amp">'Regime Amortecido'!$B$2</definedName>
    <definedName name="Amp___mm">'Regime Forçado'!$J$9:$J$13</definedName>
    <definedName name="fa___Hz">'Regime Forçado'!$I$9:$I$13</definedName>
    <definedName name="Fase">'Regime Amortecido'!$B$4</definedName>
    <definedName name="MODELO">'Regime Forçado'!$K$9:$K$13</definedName>
    <definedName name="T">'Regime Amortecido'!$B$3</definedName>
    <definedName name="Tau">'Regime Amortecido'!$B$5</definedName>
  </definedName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9" i="5" l="1"/>
  <c r="L9" i="5"/>
  <c r="K10" i="5"/>
  <c r="L10" i="5"/>
  <c r="K11" i="5"/>
  <c r="L11" i="5"/>
  <c r="K12" i="5"/>
  <c r="L12" i="5"/>
  <c r="K13" i="5"/>
  <c r="L13" i="5"/>
  <c r="M14" i="5"/>
  <c r="F6" i="6"/>
  <c r="G6" i="6"/>
  <c r="F7" i="6"/>
  <c r="G7" i="6"/>
  <c r="F8" i="6"/>
  <c r="G8" i="6"/>
  <c r="F9" i="6"/>
  <c r="G9" i="6"/>
  <c r="F10" i="6"/>
  <c r="G10" i="6"/>
  <c r="F11" i="6"/>
  <c r="G11" i="6"/>
  <c r="F12" i="6"/>
  <c r="G12" i="6"/>
  <c r="F13" i="6"/>
  <c r="G13" i="6"/>
  <c r="F14" i="6"/>
  <c r="G14" i="6"/>
  <c r="F15" i="6"/>
  <c r="G15" i="6"/>
  <c r="F16" i="6"/>
  <c r="G16" i="6"/>
  <c r="F17" i="6"/>
  <c r="G17" i="6"/>
  <c r="F18" i="6"/>
  <c r="G18" i="6"/>
  <c r="F19" i="6"/>
  <c r="G19" i="6"/>
  <c r="F20" i="6"/>
  <c r="G20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F5" i="6"/>
  <c r="G5" i="6"/>
  <c r="H5" i="6"/>
</calcChain>
</file>

<file path=xl/sharedStrings.xml><?xml version="1.0" encoding="utf-8"?>
<sst xmlns="http://schemas.openxmlformats.org/spreadsheetml/2006/main" count="37" uniqueCount="32">
  <si>
    <r>
      <rPr>
        <b/>
        <i/>
        <sz val="11"/>
        <color theme="1"/>
        <rFont val="Calibri"/>
        <family val="2"/>
        <scheme val="minor"/>
      </rPr>
      <t>m /</t>
    </r>
    <r>
      <rPr>
        <b/>
        <sz val="11"/>
        <color theme="1"/>
        <rFont val="Calibri"/>
        <family val="2"/>
        <scheme val="minor"/>
      </rPr>
      <t xml:space="preserve"> g</t>
    </r>
  </si>
  <si>
    <r>
      <t xml:space="preserve"> </t>
    </r>
    <r>
      <rPr>
        <b/>
        <i/>
        <sz val="11"/>
        <color theme="1"/>
        <rFont val="Calibri"/>
        <family val="2"/>
        <scheme val="minor"/>
      </rPr>
      <t>K</t>
    </r>
    <r>
      <rPr>
        <b/>
        <sz val="11"/>
        <color theme="1"/>
        <rFont val="Calibri"/>
        <family val="2"/>
        <scheme val="minor"/>
      </rPr>
      <t xml:space="preserve"> / Nm</t>
    </r>
    <r>
      <rPr>
        <b/>
        <vertAlign val="superscript"/>
        <sz val="11"/>
        <color theme="1"/>
        <rFont val="Calibri"/>
        <family val="2"/>
        <scheme val="minor"/>
      </rPr>
      <t>-1</t>
    </r>
  </si>
  <si>
    <r>
      <t xml:space="preserve">m1 </t>
    </r>
    <r>
      <rPr>
        <sz val="12"/>
        <color theme="1"/>
        <rFont val="Calibri"/>
        <family val="2"/>
        <scheme val="minor"/>
      </rPr>
      <t>e</t>
    </r>
    <r>
      <rPr>
        <i/>
        <sz val="12"/>
        <color theme="1"/>
        <rFont val="Calibri"/>
        <family val="2"/>
        <scheme val="minor"/>
      </rPr>
      <t xml:space="preserve"> m2 </t>
    </r>
    <r>
      <rPr>
        <sz val="12"/>
        <color theme="1"/>
        <rFont val="Calibri"/>
        <family val="2"/>
        <scheme val="minor"/>
      </rPr>
      <t>a partir dos dados experimentais</t>
    </r>
  </si>
  <si>
    <r>
      <t xml:space="preserve">Valor dos períodos e frequências próprias  para as molas </t>
    </r>
    <r>
      <rPr>
        <i/>
        <sz val="11"/>
        <color theme="1"/>
        <rFont val="Calibri"/>
        <family val="2"/>
        <scheme val="minor"/>
      </rPr>
      <t>k</t>
    </r>
    <r>
      <rPr>
        <i/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e </t>
    </r>
    <r>
      <rPr>
        <i/>
        <sz val="11"/>
        <color theme="1"/>
        <rFont val="Calibri"/>
        <family val="2"/>
        <scheme val="minor"/>
      </rPr>
      <t>k</t>
    </r>
    <r>
      <rPr>
        <i/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</t>
    </r>
  </si>
  <si>
    <r>
      <t>T</t>
    </r>
    <r>
      <rPr>
        <b/>
        <i/>
        <vertAlign val="subscript"/>
        <sz val="11"/>
        <color theme="1"/>
        <rFont val="Calibri"/>
        <family val="2"/>
        <scheme val="minor"/>
      </rPr>
      <t>0</t>
    </r>
    <r>
      <rPr>
        <b/>
        <i/>
        <vertAlign val="superscript"/>
        <sz val="11"/>
        <color theme="1"/>
        <rFont val="Calibri"/>
        <family val="2"/>
        <scheme val="minor"/>
      </rPr>
      <t xml:space="preserve">exp </t>
    </r>
    <r>
      <rPr>
        <b/>
        <i/>
        <sz val="11"/>
        <color theme="1"/>
        <rFont val="Calibri"/>
        <family val="2"/>
        <scheme val="minor"/>
      </rPr>
      <t>/ s</t>
    </r>
  </si>
  <si>
    <r>
      <t>f</t>
    </r>
    <r>
      <rPr>
        <b/>
        <i/>
        <vertAlign val="subscript"/>
        <sz val="11"/>
        <color theme="1"/>
        <rFont val="Calibri"/>
        <family val="2"/>
        <scheme val="minor"/>
      </rPr>
      <t>0</t>
    </r>
    <r>
      <rPr>
        <b/>
        <i/>
        <vertAlign val="superscript"/>
        <sz val="11"/>
        <color theme="1"/>
        <rFont val="Calibri"/>
        <family val="2"/>
        <scheme val="minor"/>
      </rPr>
      <t xml:space="preserve">exp </t>
    </r>
    <r>
      <rPr>
        <b/>
        <i/>
        <sz val="11"/>
        <color theme="1"/>
        <rFont val="Calibri"/>
        <family val="2"/>
        <scheme val="minor"/>
      </rPr>
      <t>/ Hz</t>
    </r>
  </si>
  <si>
    <r>
      <t>f</t>
    </r>
    <r>
      <rPr>
        <b/>
        <i/>
        <vertAlign val="subscript"/>
        <sz val="11"/>
        <color theme="1"/>
        <rFont val="Calibri"/>
        <family val="2"/>
        <scheme val="minor"/>
      </rPr>
      <t>0</t>
    </r>
    <r>
      <rPr>
        <b/>
        <i/>
        <vertAlign val="superscript"/>
        <sz val="11"/>
        <color theme="1"/>
        <rFont val="Calibri"/>
        <family val="2"/>
        <scheme val="minor"/>
      </rPr>
      <t xml:space="preserve">teor </t>
    </r>
    <r>
      <rPr>
        <b/>
        <i/>
        <sz val="11"/>
        <color theme="1"/>
        <rFont val="Calibri"/>
        <family val="2"/>
        <scheme val="minor"/>
      </rPr>
      <t>/ Hz</t>
    </r>
  </si>
  <si>
    <r>
      <t>T</t>
    </r>
    <r>
      <rPr>
        <b/>
        <i/>
        <vertAlign val="subscript"/>
        <sz val="11"/>
        <color theme="1"/>
        <rFont val="Calibri"/>
        <family val="2"/>
        <scheme val="minor"/>
      </rPr>
      <t>0</t>
    </r>
    <r>
      <rPr>
        <b/>
        <i/>
        <vertAlign val="superscript"/>
        <sz val="11"/>
        <color theme="1"/>
        <rFont val="Calibri"/>
        <family val="2"/>
        <scheme val="minor"/>
      </rPr>
      <t xml:space="preserve">teor </t>
    </r>
    <r>
      <rPr>
        <b/>
        <i/>
        <sz val="11"/>
        <color theme="1"/>
        <rFont val="Calibri"/>
        <family val="2"/>
        <scheme val="minor"/>
      </rPr>
      <t>/ s</t>
    </r>
  </si>
  <si>
    <t>(medir na balança)</t>
  </si>
  <si>
    <r>
      <rPr>
        <b/>
        <i/>
        <sz val="11"/>
        <color theme="1"/>
        <rFont val="Calibri"/>
        <family val="2"/>
        <scheme val="minor"/>
      </rPr>
      <t>Tempo</t>
    </r>
    <r>
      <rPr>
        <b/>
        <sz val="11"/>
        <color theme="1"/>
        <rFont val="Calibri"/>
        <family val="2"/>
        <scheme val="minor"/>
      </rPr>
      <t xml:space="preserve"> /s </t>
    </r>
  </si>
  <si>
    <t xml:space="preserve">Tabela de valores Cinéris </t>
  </si>
  <si>
    <t>Modelo</t>
  </si>
  <si>
    <t>Diferença</t>
  </si>
  <si>
    <t>Parametro</t>
  </si>
  <si>
    <t>A0</t>
  </si>
  <si>
    <t>(Graficos e Ajustes)</t>
  </si>
  <si>
    <t>Valor Inicial (guess)</t>
  </si>
  <si>
    <t>Periodo</t>
  </si>
  <si>
    <t>Fase</t>
  </si>
  <si>
    <t>Tau</t>
  </si>
  <si>
    <t>A preencher antes da sessão de Laboratório</t>
  </si>
  <si>
    <r>
      <t xml:space="preserve">  f</t>
    </r>
    <r>
      <rPr>
        <b/>
        <i/>
        <vertAlign val="subscript"/>
        <sz val="11"/>
        <color theme="1"/>
        <rFont val="Calibri"/>
        <family val="2"/>
        <scheme val="minor"/>
      </rPr>
      <t>a</t>
    </r>
    <r>
      <rPr>
        <b/>
        <i/>
        <sz val="11"/>
        <color theme="1"/>
        <rFont val="Calibri"/>
        <family val="2"/>
        <scheme val="minor"/>
      </rPr>
      <t xml:space="preserve"> / Hz</t>
    </r>
  </si>
  <si>
    <r>
      <rPr>
        <b/>
        <i/>
        <sz val="11"/>
        <color theme="1"/>
        <rFont val="Calibri"/>
        <family val="2"/>
        <scheme val="minor"/>
      </rPr>
      <t>Y(s)</t>
    </r>
    <r>
      <rPr>
        <b/>
        <sz val="11"/>
        <color theme="1"/>
        <rFont val="Calibri"/>
        <family val="2"/>
        <scheme val="minor"/>
      </rPr>
      <t xml:space="preserve"> / m</t>
    </r>
  </si>
  <si>
    <t>Somatorio Difs</t>
  </si>
  <si>
    <t>K1</t>
  </si>
  <si>
    <t>K2</t>
  </si>
  <si>
    <t>T</t>
  </si>
  <si>
    <t>AMP</t>
  </si>
  <si>
    <t>MODELO</t>
  </si>
  <si>
    <t>DIF</t>
  </si>
  <si>
    <t xml:space="preserve">SOMA </t>
  </si>
  <si>
    <t xml:space="preserve"> Amp /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</si>
</sst>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i/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vertAlign val="subscript"/>
      <sz val="11"/>
      <color theme="1"/>
      <name val="Calibri"/>
      <family val="2"/>
      <scheme val="minor"/>
    </font>
    <font>
      <b/>
      <i/>
      <vertAlign val="subscript"/>
      <sz val="11"/>
      <color theme="1"/>
      <name val="Calibri"/>
      <family val="2"/>
      <scheme val="minor"/>
    </font>
    <font>
      <b/>
      <i/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0" fontId="7" fillId="0" borderId="0" xfId="0" applyFont="1"/>
    <xf numFmtId="0" fontId="6" fillId="0" borderId="0" xfId="0" applyFont="1"/>
    <xf numFmtId="0" fontId="3" fillId="0" borderId="0" xfId="0" applyFont="1"/>
    <xf numFmtId="0" fontId="0" fillId="0" borderId="2" xfId="0" applyBorder="1"/>
    <xf numFmtId="0" fontId="2" fillId="0" borderId="3" xfId="0" applyFont="1" applyBorder="1"/>
    <xf numFmtId="0" fontId="2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5" fillId="0" borderId="2" xfId="0" applyFont="1" applyBorder="1" applyAlignment="1">
      <alignment wrapText="1"/>
    </xf>
    <xf numFmtId="0" fontId="3" fillId="0" borderId="3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0" borderId="8" xfId="0" applyFont="1" applyBorder="1"/>
    <xf numFmtId="0" fontId="0" fillId="0" borderId="1" xfId="0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2" xfId="0" applyBorder="1" applyAlignment="1"/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>
        <c:manualLayout>
          <c:layoutTarget val="inner"/>
          <c:xMode val="edge"/>
          <c:yMode val="edge"/>
          <c:x val="8.0868152722713499E-2"/>
          <c:y val="0.15035149041329693"/>
          <c:w val="0.90041476050437663"/>
          <c:h val="0.78464169860734245"/>
        </c:manualLayout>
      </c:layout>
      <c:scatterChart>
        <c:scatterStyle val="lineMarker"/>
        <c:varyColors val="0"/>
        <c:ser>
          <c:idx val="0"/>
          <c:order val="0"/>
          <c:tx>
            <c:strRef>
              <c:f>'Regime Forçado'!$J$8</c:f>
              <c:strCache>
                <c:ptCount val="1"/>
                <c:pt idx="0">
                  <c:v> Amp / m</c:v>
                </c:pt>
              </c:strCache>
            </c:strRef>
          </c:tx>
          <c:spPr>
            <a:ln w="4762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'Regime Forçado'!$I$9:$I$13</c:f>
              <c:numCache>
                <c:formatCode>General</c:formatCode>
                <c:ptCount val="5"/>
                <c:pt idx="0">
                  <c:v>0.84699999999999998</c:v>
                </c:pt>
                <c:pt idx="1">
                  <c:v>1.0389999999999999</c:v>
                </c:pt>
                <c:pt idx="2">
                  <c:v>1.206</c:v>
                </c:pt>
                <c:pt idx="3">
                  <c:v>1.403</c:v>
                </c:pt>
                <c:pt idx="4">
                  <c:v>1.8420000000000001</c:v>
                </c:pt>
              </c:numCache>
            </c:numRef>
          </c:xVal>
          <c:yVal>
            <c:numRef>
              <c:f>'Regime Forçado'!$J$9:$J$13</c:f>
              <c:numCache>
                <c:formatCode>General</c:formatCode>
                <c:ptCount val="5"/>
                <c:pt idx="0">
                  <c:v>1.2999999999999999E-2</c:v>
                </c:pt>
                <c:pt idx="1">
                  <c:v>2.64E-2</c:v>
                </c:pt>
                <c:pt idx="2">
                  <c:v>5.5599999999999997E-2</c:v>
                </c:pt>
                <c:pt idx="3">
                  <c:v>1.7500000000000002E-2</c:v>
                </c:pt>
                <c:pt idx="4">
                  <c:v>5.8599999999999998E-3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E8-405D-8E72-A6568CFE59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483659280"/>
        <c:axId val="-462462000"/>
      </c:scatterChart>
      <c:valAx>
        <c:axId val="-483659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-462462000"/>
        <c:crosses val="autoZero"/>
        <c:crossBetween val="midCat"/>
      </c:valAx>
      <c:valAx>
        <c:axId val="-462462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-483659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MODELO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>
        <c:manualLayout>
          <c:layoutTarget val="inner"/>
          <c:xMode val="edge"/>
          <c:yMode val="edge"/>
          <c:x val="8.5914928511644797E-2"/>
          <c:y val="0.16223950816701707"/>
          <c:w val="0.86231095912437439"/>
          <c:h val="0.76761371103416098"/>
        </c:manualLayout>
      </c:layout>
      <c:scatterChart>
        <c:scatterStyle val="lineMarker"/>
        <c:varyColors val="0"/>
        <c:ser>
          <c:idx val="0"/>
          <c:order val="0"/>
          <c:spPr>
            <a:ln w="4762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'Regime Forçado'!$I$9:$I$13</c:f>
              <c:numCache>
                <c:formatCode>General</c:formatCode>
                <c:ptCount val="5"/>
                <c:pt idx="0">
                  <c:v>0.84699999999999998</c:v>
                </c:pt>
                <c:pt idx="1">
                  <c:v>1.0389999999999999</c:v>
                </c:pt>
                <c:pt idx="2">
                  <c:v>1.206</c:v>
                </c:pt>
                <c:pt idx="3">
                  <c:v>1.403</c:v>
                </c:pt>
                <c:pt idx="4">
                  <c:v>1.8420000000000001</c:v>
                </c:pt>
              </c:numCache>
            </c:numRef>
          </c:xVal>
          <c:yVal>
            <c:numRef>
              <c:f>'Regime Forçado'!$K$9:$K$13</c:f>
              <c:numCache>
                <c:formatCode>General</c:formatCode>
                <c:ptCount val="5"/>
                <c:pt idx="0">
                  <c:v>5.1861035695566216E-3</c:v>
                </c:pt>
                <c:pt idx="1">
                  <c:v>1.0530852924515277E-2</c:v>
                </c:pt>
                <c:pt idx="2">
                  <c:v>2.216976774674384E-2</c:v>
                </c:pt>
                <c:pt idx="3">
                  <c:v>6.9811335765135318E-3</c:v>
                </c:pt>
                <c:pt idx="4">
                  <c:v>2.3377883833584079E-3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87-43BA-B7F9-7E6115FB6F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427366224"/>
        <c:axId val="-427367584"/>
      </c:scatterChart>
      <c:valAx>
        <c:axId val="-427366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-427367584"/>
        <c:crosses val="autoZero"/>
        <c:crossBetween val="midCat"/>
      </c:valAx>
      <c:valAx>
        <c:axId val="-42736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-427366224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>
        <c:manualLayout>
          <c:layoutTarget val="inner"/>
          <c:xMode val="edge"/>
          <c:yMode val="edge"/>
          <c:x val="6.7213590396932088E-2"/>
          <c:y val="5.9041614653351247E-2"/>
          <c:w val="0.88511603734435151"/>
          <c:h val="0.68306636498943729"/>
        </c:manualLayout>
      </c:layout>
      <c:scatterChart>
        <c:scatterStyle val="lineMarker"/>
        <c:varyColors val="0"/>
        <c:ser>
          <c:idx val="0"/>
          <c:order val="0"/>
          <c:tx>
            <c:v>Modelo</c:v>
          </c:tx>
          <c:spPr>
            <a:ln w="4762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'Regime Forçado'!$I$9:$I$13</c:f>
              <c:numCache>
                <c:formatCode>General</c:formatCode>
                <c:ptCount val="5"/>
                <c:pt idx="0">
                  <c:v>0.84699999999999998</c:v>
                </c:pt>
                <c:pt idx="1">
                  <c:v>1.0389999999999999</c:v>
                </c:pt>
                <c:pt idx="2">
                  <c:v>1.206</c:v>
                </c:pt>
                <c:pt idx="3">
                  <c:v>1.403</c:v>
                </c:pt>
                <c:pt idx="4">
                  <c:v>1.8420000000000001</c:v>
                </c:pt>
              </c:numCache>
            </c:numRef>
          </c:xVal>
          <c:yVal>
            <c:numRef>
              <c:f>'Regime Forçado'!$K$9:$K$13</c:f>
              <c:numCache>
                <c:formatCode>General</c:formatCode>
                <c:ptCount val="5"/>
                <c:pt idx="0">
                  <c:v>5.1861035695566216E-3</c:v>
                </c:pt>
                <c:pt idx="1">
                  <c:v>1.0530852924515277E-2</c:v>
                </c:pt>
                <c:pt idx="2">
                  <c:v>2.216976774674384E-2</c:v>
                </c:pt>
                <c:pt idx="3">
                  <c:v>6.9811335765135318E-3</c:v>
                </c:pt>
                <c:pt idx="4">
                  <c:v>2.3377883833584079E-3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F7-4A9E-A9B1-E0DB0A66D1FD}"/>
            </c:ext>
          </c:extLst>
        </c:ser>
        <c:ser>
          <c:idx val="2"/>
          <c:order val="2"/>
          <c:tx>
            <c:v>Amp / m</c:v>
          </c:tx>
          <c:spPr>
            <a:ln w="4762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'Regime Forçado'!$I$9:$I$13</c:f>
              <c:numCache>
                <c:formatCode>General</c:formatCode>
                <c:ptCount val="5"/>
                <c:pt idx="0">
                  <c:v>0.84699999999999998</c:v>
                </c:pt>
                <c:pt idx="1">
                  <c:v>1.0389999999999999</c:v>
                </c:pt>
                <c:pt idx="2">
                  <c:v>1.206</c:v>
                </c:pt>
                <c:pt idx="3">
                  <c:v>1.403</c:v>
                </c:pt>
                <c:pt idx="4">
                  <c:v>1.8420000000000001</c:v>
                </c:pt>
              </c:numCache>
            </c:numRef>
          </c:xVal>
          <c:yVal>
            <c:numRef>
              <c:f>'Regime Forçado'!$J$9:$J$13</c:f>
              <c:numCache>
                <c:formatCode>General</c:formatCode>
                <c:ptCount val="5"/>
                <c:pt idx="0">
                  <c:v>1.2999999999999999E-2</c:v>
                </c:pt>
                <c:pt idx="1">
                  <c:v>2.64E-2</c:v>
                </c:pt>
                <c:pt idx="2">
                  <c:v>5.5599999999999997E-2</c:v>
                </c:pt>
                <c:pt idx="3">
                  <c:v>1.7500000000000002E-2</c:v>
                </c:pt>
                <c:pt idx="4">
                  <c:v>5.8599999999999998E-3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DF7-4A9E-A9B1-E0DB0A66D1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483758208"/>
        <c:axId val="-462899904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spPr>
                  <a:ln w="47625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'Regime Forçado'!$I$9:$I$13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0.84699999999999998</c:v>
                      </c:pt>
                      <c:pt idx="1">
                        <c:v>1.0389999999999999</c:v>
                      </c:pt>
                      <c:pt idx="2">
                        <c:v>1.206</c:v>
                      </c:pt>
                      <c:pt idx="3">
                        <c:v>1.403</c:v>
                      </c:pt>
                      <c:pt idx="4">
                        <c:v>1.8420000000000001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'Regime Forçado'!$J$9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1.2999999999999999E-2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9DF7-4A9E-A9B1-E0DB0A66D1FD}"/>
                  </c:ext>
                </c:extLst>
              </c15:ser>
            </c15:filteredScatterSeries>
          </c:ext>
        </c:extLst>
      </c:scatterChart>
      <c:valAx>
        <c:axId val="-483758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-462899904"/>
        <c:crosses val="autoZero"/>
        <c:crossBetween val="midCat"/>
      </c:valAx>
      <c:valAx>
        <c:axId val="-46289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-4837582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18</xdr:row>
      <xdr:rowOff>67734</xdr:rowOff>
    </xdr:from>
    <xdr:to>
      <xdr:col>13</xdr:col>
      <xdr:colOff>473720</xdr:colOff>
      <xdr:row>37</xdr:row>
      <xdr:rowOff>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203200</xdr:colOff>
      <xdr:row>18</xdr:row>
      <xdr:rowOff>31616</xdr:rowOff>
    </xdr:from>
    <xdr:to>
      <xdr:col>22</xdr:col>
      <xdr:colOff>76851</xdr:colOff>
      <xdr:row>36</xdr:row>
      <xdr:rowOff>143933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196063</xdr:colOff>
      <xdr:row>0</xdr:row>
      <xdr:rowOff>0</xdr:rowOff>
    </xdr:from>
    <xdr:to>
      <xdr:col>22</xdr:col>
      <xdr:colOff>257024</xdr:colOff>
      <xdr:row>17</xdr:row>
      <xdr:rowOff>123613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12"/>
  <sheetViews>
    <sheetView workbookViewId="0">
      <selection activeCell="E8" sqref="E8"/>
    </sheetView>
  </sheetViews>
  <sheetFormatPr defaultColWidth="8.77734375" defaultRowHeight="14.4" x14ac:dyDescent="0.3"/>
  <cols>
    <col min="2" max="2" width="6.44140625" customWidth="1"/>
    <col min="4" max="4" width="12.44140625" customWidth="1"/>
    <col min="5" max="5" width="13.109375" customWidth="1"/>
  </cols>
  <sheetData>
    <row r="2" spans="2:11" x14ac:dyDescent="0.3">
      <c r="B2" s="1" t="s">
        <v>20</v>
      </c>
    </row>
    <row r="4" spans="2:11" ht="20.25" customHeight="1" thickBot="1" x14ac:dyDescent="0.35"/>
    <row r="5" spans="2:11" ht="25.5" customHeight="1" thickBot="1" x14ac:dyDescent="0.4">
      <c r="B5" s="8" t="s">
        <v>0</v>
      </c>
      <c r="C5" s="9" t="s">
        <v>1</v>
      </c>
      <c r="D5" s="10" t="s">
        <v>7</v>
      </c>
      <c r="E5" s="11" t="s">
        <v>6</v>
      </c>
    </row>
    <row r="6" spans="2:11" ht="20.25" customHeight="1" x14ac:dyDescent="0.3">
      <c r="B6" s="7">
        <v>150</v>
      </c>
      <c r="C6" s="7">
        <v>20</v>
      </c>
      <c r="D6" s="7">
        <v>0.54400000000000004</v>
      </c>
      <c r="E6" s="7">
        <v>1.84</v>
      </c>
    </row>
    <row r="7" spans="2:11" ht="20.25" customHeight="1" x14ac:dyDescent="0.3">
      <c r="B7" s="2">
        <v>150</v>
      </c>
      <c r="C7" s="2">
        <v>10</v>
      </c>
      <c r="D7" s="2">
        <v>0.76900000000000002</v>
      </c>
      <c r="E7" s="2">
        <v>1.3</v>
      </c>
    </row>
    <row r="8" spans="2:11" ht="20.25" customHeight="1" x14ac:dyDescent="0.3">
      <c r="B8" s="2">
        <v>200</v>
      </c>
      <c r="C8" s="2">
        <v>10</v>
      </c>
      <c r="D8" s="2">
        <v>0.88800000000000001</v>
      </c>
      <c r="E8" s="2">
        <v>1.26</v>
      </c>
    </row>
    <row r="12" spans="2:11" x14ac:dyDescent="0.3">
      <c r="K12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10"/>
  <sheetViews>
    <sheetView workbookViewId="0">
      <selection activeCell="E10" sqref="E10"/>
    </sheetView>
  </sheetViews>
  <sheetFormatPr defaultColWidth="8.77734375" defaultRowHeight="14.4" x14ac:dyDescent="0.3"/>
  <sheetData>
    <row r="2" spans="1:9" ht="15.6" x14ac:dyDescent="0.35">
      <c r="B2" t="s">
        <v>3</v>
      </c>
    </row>
    <row r="3" spans="1:9" ht="15.6" x14ac:dyDescent="0.3">
      <c r="B3" s="4" t="s">
        <v>2</v>
      </c>
    </row>
    <row r="4" spans="1:9" ht="15" thickBot="1" x14ac:dyDescent="0.35">
      <c r="I4" s="5"/>
    </row>
    <row r="5" spans="1:9" s="1" customFormat="1" ht="21" customHeight="1" thickBot="1" x14ac:dyDescent="0.4">
      <c r="B5" s="15" t="s">
        <v>0</v>
      </c>
      <c r="C5" s="16" t="s">
        <v>1</v>
      </c>
      <c r="D5" s="17" t="s">
        <v>4</v>
      </c>
      <c r="E5" s="18" t="s">
        <v>5</v>
      </c>
    </row>
    <row r="6" spans="1:9" ht="46.8" x14ac:dyDescent="0.3">
      <c r="B6" s="12" t="s">
        <v>8</v>
      </c>
      <c r="C6" s="7">
        <v>20</v>
      </c>
      <c r="D6" s="7"/>
      <c r="E6" s="7"/>
    </row>
    <row r="7" spans="1:9" x14ac:dyDescent="0.3">
      <c r="A7" t="s">
        <v>24</v>
      </c>
      <c r="B7" s="2">
        <v>153.4</v>
      </c>
      <c r="C7" s="2">
        <v>10</v>
      </c>
      <c r="D7" s="2">
        <v>0.80800000000000005</v>
      </c>
      <c r="E7" s="2">
        <v>1.2376</v>
      </c>
    </row>
    <row r="8" spans="1:9" x14ac:dyDescent="0.3">
      <c r="A8" t="s">
        <v>24</v>
      </c>
      <c r="B8" s="2">
        <v>201.6</v>
      </c>
      <c r="C8" s="2">
        <v>10</v>
      </c>
      <c r="D8" s="2">
        <v>0.91800000000000004</v>
      </c>
      <c r="E8" s="2">
        <v>1.0892999999999999</v>
      </c>
    </row>
    <row r="9" spans="1:9" x14ac:dyDescent="0.3">
      <c r="A9" t="s">
        <v>25</v>
      </c>
      <c r="B9">
        <v>153.4</v>
      </c>
      <c r="C9">
        <v>20</v>
      </c>
      <c r="D9">
        <v>0.56999999999999995</v>
      </c>
      <c r="E9">
        <v>1.7544</v>
      </c>
    </row>
    <row r="10" spans="1:9" x14ac:dyDescent="0.3">
      <c r="A10" t="s">
        <v>25</v>
      </c>
      <c r="B10">
        <v>201.6</v>
      </c>
      <c r="C10">
        <v>20</v>
      </c>
      <c r="D10">
        <v>0.64800000000000002</v>
      </c>
      <c r="E10">
        <v>1.5431999999999999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7"/>
  <sheetViews>
    <sheetView topLeftCell="B1" zoomScale="168" workbookViewId="0">
      <selection activeCell="K11" sqref="K11"/>
    </sheetView>
  </sheetViews>
  <sheetFormatPr defaultColWidth="8.77734375" defaultRowHeight="14.4" x14ac:dyDescent="0.3"/>
  <cols>
    <col min="1" max="1" width="10.33203125" bestFit="1" customWidth="1"/>
    <col min="2" max="2" width="18.44140625" bestFit="1" customWidth="1"/>
    <col min="4" max="4" width="9.6640625" bestFit="1" customWidth="1"/>
    <col min="5" max="5" width="9.44140625" customWidth="1"/>
    <col min="6" max="6" width="11.6640625" bestFit="1" customWidth="1"/>
    <col min="7" max="7" width="12" bestFit="1" customWidth="1"/>
    <col min="8" max="8" width="14.109375" bestFit="1" customWidth="1"/>
  </cols>
  <sheetData>
    <row r="1" spans="1:10" x14ac:dyDescent="0.3">
      <c r="A1" s="1" t="s">
        <v>13</v>
      </c>
      <c r="B1" s="1" t="s">
        <v>16</v>
      </c>
    </row>
    <row r="2" spans="1:10" x14ac:dyDescent="0.3">
      <c r="A2" s="3" t="s">
        <v>14</v>
      </c>
      <c r="B2" s="2">
        <v>2.0899999999999998E-2</v>
      </c>
      <c r="D2" t="s">
        <v>10</v>
      </c>
    </row>
    <row r="3" spans="1:10" ht="15" thickBot="1" x14ac:dyDescent="0.35">
      <c r="A3" s="3" t="s">
        <v>17</v>
      </c>
      <c r="B3" s="2">
        <v>0.84499999999999997</v>
      </c>
    </row>
    <row r="4" spans="1:10" ht="15" thickBot="1" x14ac:dyDescent="0.35">
      <c r="A4" s="3" t="s">
        <v>18</v>
      </c>
      <c r="B4" s="2">
        <v>-1.06</v>
      </c>
      <c r="D4" s="8" t="s">
        <v>9</v>
      </c>
      <c r="E4" s="19" t="s">
        <v>22</v>
      </c>
      <c r="F4" s="20" t="s">
        <v>11</v>
      </c>
      <c r="G4" s="2" t="s">
        <v>12</v>
      </c>
      <c r="H4" s="2" t="s">
        <v>23</v>
      </c>
      <c r="J4" t="s">
        <v>15</v>
      </c>
    </row>
    <row r="5" spans="1:10" x14ac:dyDescent="0.3">
      <c r="A5" s="3" t="s">
        <v>19</v>
      </c>
      <c r="B5" s="2">
        <v>6.08</v>
      </c>
      <c r="D5" s="7">
        <v>0</v>
      </c>
      <c r="E5" s="7">
        <v>0.01</v>
      </c>
      <c r="F5">
        <f t="shared" ref="F5:F20" si="0">Amp*SIN(2*PI()/T*D5+ Fase)*EXP(-D5/Tau)</f>
        <v>-1.8232229581010211E-2</v>
      </c>
      <c r="G5">
        <f>ABS(F5-E5)</f>
        <v>2.823222958101021E-2</v>
      </c>
      <c r="H5">
        <f>SUM(G5:G27)</f>
        <v>0.46756901682145513</v>
      </c>
    </row>
    <row r="6" spans="1:10" x14ac:dyDescent="0.3">
      <c r="D6" s="2">
        <v>0.1</v>
      </c>
      <c r="E6" s="2">
        <v>3.5099999999999999E-2</v>
      </c>
      <c r="F6">
        <f t="shared" si="0"/>
        <v>-6.397438761730977E-3</v>
      </c>
      <c r="G6">
        <f t="shared" ref="G6:G20" si="1">ABS(F6-E6)</f>
        <v>4.1497438761730975E-2</v>
      </c>
      <c r="H6">
        <f t="shared" ref="H6:H20" si="2">SUM(G6:G28)</f>
        <v>0.43933678724044489</v>
      </c>
    </row>
    <row r="7" spans="1:10" x14ac:dyDescent="0.3">
      <c r="D7" s="7">
        <v>0.2</v>
      </c>
      <c r="E7" s="2">
        <v>5.11E-2</v>
      </c>
      <c r="F7">
        <f t="shared" si="0"/>
        <v>8.3781368107189603E-3</v>
      </c>
      <c r="G7">
        <f t="shared" si="1"/>
        <v>4.2721863189281041E-2</v>
      </c>
      <c r="H7">
        <f t="shared" si="2"/>
        <v>0.39783934847871394</v>
      </c>
    </row>
    <row r="8" spans="1:10" x14ac:dyDescent="0.3">
      <c r="D8" s="2">
        <v>0.3</v>
      </c>
      <c r="E8" s="2">
        <v>6.1420000000000002E-2</v>
      </c>
      <c r="F8">
        <f t="shared" si="0"/>
        <v>1.8322766461050442E-2</v>
      </c>
      <c r="G8">
        <f t="shared" si="1"/>
        <v>4.3097233538949564E-2</v>
      </c>
      <c r="H8">
        <f t="shared" si="2"/>
        <v>0.35511748528943288</v>
      </c>
    </row>
    <row r="9" spans="1:10" x14ac:dyDescent="0.3">
      <c r="D9" s="7">
        <v>0.4</v>
      </c>
      <c r="E9" s="2"/>
      <c r="F9">
        <f t="shared" si="0"/>
        <v>1.8426100602039856E-2</v>
      </c>
      <c r="G9">
        <f t="shared" si="1"/>
        <v>1.8426100602039856E-2</v>
      </c>
      <c r="H9">
        <f t="shared" si="2"/>
        <v>0.31202025175048337</v>
      </c>
    </row>
    <row r="10" spans="1:10" x14ac:dyDescent="0.3">
      <c r="D10" s="2">
        <v>0.5</v>
      </c>
      <c r="E10" s="2">
        <v>5.1610000000000003E-2</v>
      </c>
      <c r="F10">
        <f t="shared" si="0"/>
        <v>8.9529128323920012E-3</v>
      </c>
      <c r="G10">
        <f t="shared" si="1"/>
        <v>4.2657087167608E-2</v>
      </c>
      <c r="H10">
        <f t="shared" si="2"/>
        <v>0.29359415114844351</v>
      </c>
    </row>
    <row r="11" spans="1:10" x14ac:dyDescent="0.3">
      <c r="D11" s="7">
        <v>0.6</v>
      </c>
      <c r="E11" s="2"/>
      <c r="F11">
        <f t="shared" si="0"/>
        <v>-4.8651625311084091E-3</v>
      </c>
      <c r="G11">
        <f t="shared" si="1"/>
        <v>4.8651625311084091E-3</v>
      </c>
      <c r="H11">
        <f t="shared" si="2"/>
        <v>0.25093706398083548</v>
      </c>
    </row>
    <row r="12" spans="1:10" x14ac:dyDescent="0.3">
      <c r="D12" s="2">
        <v>0.7</v>
      </c>
      <c r="E12" s="2">
        <v>2.581E-2</v>
      </c>
      <c r="F12">
        <f t="shared" si="0"/>
        <v>-1.5708422529319963E-2</v>
      </c>
      <c r="G12">
        <f t="shared" si="1"/>
        <v>4.1518422529319962E-2</v>
      </c>
      <c r="H12">
        <f t="shared" si="2"/>
        <v>0.24607190144972707</v>
      </c>
    </row>
    <row r="13" spans="1:10" x14ac:dyDescent="0.3">
      <c r="D13" s="7">
        <v>0.8</v>
      </c>
      <c r="E13" s="2"/>
      <c r="F13">
        <f t="shared" si="0"/>
        <v>-1.8039575555270259E-2</v>
      </c>
      <c r="G13">
        <f t="shared" si="1"/>
        <v>1.8039575555270259E-2</v>
      </c>
      <c r="H13">
        <f t="shared" si="2"/>
        <v>0.20455347892040715</v>
      </c>
    </row>
    <row r="14" spans="1:10" x14ac:dyDescent="0.3">
      <c r="D14" s="2">
        <v>0.9</v>
      </c>
      <c r="E14" s="2"/>
      <c r="F14">
        <f t="shared" si="0"/>
        <v>-1.0922932305098634E-2</v>
      </c>
      <c r="G14">
        <f t="shared" si="1"/>
        <v>1.0922932305098634E-2</v>
      </c>
      <c r="H14">
        <f t="shared" si="2"/>
        <v>0.18651390336513685</v>
      </c>
    </row>
    <row r="15" spans="1:10" x14ac:dyDescent="0.3">
      <c r="D15" s="7">
        <v>1</v>
      </c>
      <c r="E15" s="2">
        <v>4.3869999999999999E-2</v>
      </c>
      <c r="F15">
        <f t="shared" si="0"/>
        <v>1.6383680082656586E-3</v>
      </c>
      <c r="G15">
        <f t="shared" si="1"/>
        <v>4.2231631991734339E-2</v>
      </c>
      <c r="H15">
        <f t="shared" si="2"/>
        <v>0.17559097106003824</v>
      </c>
    </row>
    <row r="16" spans="1:10" x14ac:dyDescent="0.3">
      <c r="D16" s="2">
        <v>1.1000000000000001</v>
      </c>
      <c r="E16" s="2"/>
      <c r="F16">
        <f t="shared" si="0"/>
        <v>1.2941984823432518E-2</v>
      </c>
      <c r="G16">
        <f t="shared" si="1"/>
        <v>1.2941984823432518E-2</v>
      </c>
      <c r="H16">
        <f t="shared" si="2"/>
        <v>0.13335933906830388</v>
      </c>
    </row>
    <row r="17" spans="4:8" x14ac:dyDescent="0.3">
      <c r="D17" s="2"/>
      <c r="E17" s="2"/>
      <c r="F17">
        <f t="shared" si="0"/>
        <v>-1.8232229581010211E-2</v>
      </c>
      <c r="G17">
        <f t="shared" si="1"/>
        <v>1.8232229581010211E-2</v>
      </c>
      <c r="H17">
        <f t="shared" si="2"/>
        <v>0.12041735424487138</v>
      </c>
    </row>
    <row r="18" spans="4:8" x14ac:dyDescent="0.3">
      <c r="D18" s="2">
        <v>1.3</v>
      </c>
      <c r="E18" s="2">
        <v>5.3679999999999999E-2</v>
      </c>
      <c r="F18">
        <f t="shared" si="0"/>
        <v>1.2320180530454722E-2</v>
      </c>
      <c r="G18">
        <f t="shared" si="1"/>
        <v>4.1359819469545277E-2</v>
      </c>
      <c r="H18">
        <f t="shared" si="2"/>
        <v>0.10218512466386116</v>
      </c>
    </row>
    <row r="19" spans="4:8" x14ac:dyDescent="0.3">
      <c r="D19" s="2"/>
      <c r="E19" s="2"/>
      <c r="F19">
        <f t="shared" si="0"/>
        <v>-1.8232229581010211E-2</v>
      </c>
      <c r="G19">
        <f t="shared" si="1"/>
        <v>1.8232229581010211E-2</v>
      </c>
      <c r="H19">
        <f t="shared" si="2"/>
        <v>6.0825305194315893E-2</v>
      </c>
    </row>
    <row r="20" spans="4:8" x14ac:dyDescent="0.3">
      <c r="D20" s="2">
        <v>1.7</v>
      </c>
      <c r="E20" s="2">
        <v>2.9420000000000002E-2</v>
      </c>
      <c r="F20">
        <f t="shared" si="0"/>
        <v>-1.317307561330568E-2</v>
      </c>
      <c r="G20">
        <f t="shared" si="1"/>
        <v>4.2593075613305678E-2</v>
      </c>
      <c r="H20">
        <f t="shared" si="2"/>
        <v>4.2593075613305678E-2</v>
      </c>
    </row>
    <row r="21" spans="4:8" x14ac:dyDescent="0.3">
      <c r="D21" s="2"/>
      <c r="E21" s="2"/>
    </row>
    <row r="22" spans="4:8" x14ac:dyDescent="0.3">
      <c r="D22" s="2"/>
      <c r="E22" s="2"/>
    </row>
    <row r="23" spans="4:8" x14ac:dyDescent="0.3">
      <c r="D23" s="2"/>
      <c r="E23" s="2"/>
    </row>
    <row r="24" spans="4:8" x14ac:dyDescent="0.3">
      <c r="D24" s="2"/>
      <c r="E24" s="2"/>
    </row>
    <row r="25" spans="4:8" x14ac:dyDescent="0.3">
      <c r="D25" s="2"/>
      <c r="E25" s="2"/>
    </row>
    <row r="26" spans="4:8" x14ac:dyDescent="0.3">
      <c r="D26" s="2"/>
      <c r="E26" s="2"/>
    </row>
    <row r="27" spans="4:8" x14ac:dyDescent="0.3">
      <c r="D27" s="2"/>
      <c r="E27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4:M22"/>
  <sheetViews>
    <sheetView tabSelected="1" topLeftCell="B1" zoomScale="90" zoomScaleNormal="90" workbookViewId="0">
      <selection activeCell="M18" sqref="M18"/>
    </sheetView>
  </sheetViews>
  <sheetFormatPr defaultColWidth="8.77734375" defaultRowHeight="14.4" x14ac:dyDescent="0.3"/>
  <cols>
    <col min="5" max="5" width="10.6640625" bestFit="1" customWidth="1"/>
  </cols>
  <sheetData>
    <row r="4" spans="4:13" ht="15" thickBot="1" x14ac:dyDescent="0.35"/>
    <row r="5" spans="4:13" ht="15" thickBot="1" x14ac:dyDescent="0.35">
      <c r="D5" s="21"/>
      <c r="E5" s="22"/>
      <c r="I5" t="s">
        <v>15</v>
      </c>
    </row>
    <row r="6" spans="4:13" x14ac:dyDescent="0.3">
      <c r="D6" s="23"/>
      <c r="E6" s="23"/>
    </row>
    <row r="7" spans="4:13" ht="15" thickBot="1" x14ac:dyDescent="0.35">
      <c r="D7" s="24"/>
      <c r="E7" s="24"/>
    </row>
    <row r="8" spans="4:13" ht="16.2" thickBot="1" x14ac:dyDescent="0.4">
      <c r="D8" s="24"/>
      <c r="E8" s="24"/>
      <c r="I8" s="13" t="s">
        <v>21</v>
      </c>
      <c r="J8" s="14" t="s">
        <v>31</v>
      </c>
      <c r="K8" t="s">
        <v>28</v>
      </c>
      <c r="L8" t="s">
        <v>29</v>
      </c>
      <c r="M8" t="s">
        <v>30</v>
      </c>
    </row>
    <row r="9" spans="4:13" x14ac:dyDescent="0.3">
      <c r="D9" s="24"/>
      <c r="E9" s="24"/>
      <c r="I9" s="7">
        <v>0.84699999999999998</v>
      </c>
      <c r="J9" s="7">
        <v>1.2999999999999999E-2</v>
      </c>
      <c r="K9">
        <f>_xlfn.GAUSS(Amp___mm)</f>
        <v>5.1861035695566216E-3</v>
      </c>
      <c r="L9">
        <f xml:space="preserve"> Amp___mm- MODELO</f>
        <v>7.8138964304433779E-3</v>
      </c>
    </row>
    <row r="10" spans="4:13" x14ac:dyDescent="0.3">
      <c r="D10" s="24"/>
      <c r="E10" s="24"/>
      <c r="I10" s="2">
        <v>1.0389999999999999</v>
      </c>
      <c r="J10" s="2">
        <v>2.64E-2</v>
      </c>
      <c r="K10">
        <f>_xlfn.GAUSS(Amp___mm)</f>
        <v>1.0530852924515277E-2</v>
      </c>
      <c r="L10">
        <f xml:space="preserve"> Amp___mm- MODELO</f>
        <v>1.5869147075484723E-2</v>
      </c>
    </row>
    <row r="11" spans="4:13" x14ac:dyDescent="0.3">
      <c r="D11" s="24"/>
      <c r="E11" s="24"/>
      <c r="I11" s="2">
        <v>1.206</v>
      </c>
      <c r="J11" s="2">
        <v>5.5599999999999997E-2</v>
      </c>
      <c r="K11">
        <f>_xlfn.GAUSS(Amp___mm)</f>
        <v>2.216976774674384E-2</v>
      </c>
      <c r="L11">
        <f xml:space="preserve"> Amp___mm- MODELO</f>
        <v>3.3430232253256156E-2</v>
      </c>
    </row>
    <row r="12" spans="4:13" x14ac:dyDescent="0.3">
      <c r="D12" s="24"/>
      <c r="E12" s="24"/>
      <c r="I12" s="2">
        <v>1.403</v>
      </c>
      <c r="J12" s="2">
        <v>1.7500000000000002E-2</v>
      </c>
      <c r="K12">
        <f>_xlfn.GAUSS(Amp___mm)</f>
        <v>6.9811335765135318E-3</v>
      </c>
      <c r="L12">
        <f xml:space="preserve"> Amp___mm- MODELO</f>
        <v>1.051886642348647E-2</v>
      </c>
    </row>
    <row r="13" spans="4:13" x14ac:dyDescent="0.3">
      <c r="D13" s="24"/>
      <c r="E13" s="24"/>
      <c r="I13" s="2">
        <v>1.8420000000000001</v>
      </c>
      <c r="J13" s="2">
        <v>5.8599999999999998E-3</v>
      </c>
      <c r="K13">
        <f>_xlfn.GAUSS(Amp___mm)</f>
        <v>2.3377883833584079E-3</v>
      </c>
      <c r="L13">
        <f xml:space="preserve"> Amp___mm- MODELO</f>
        <v>3.5222116166415919E-3</v>
      </c>
    </row>
    <row r="14" spans="4:13" x14ac:dyDescent="0.3">
      <c r="D14" s="24"/>
      <c r="E14" s="24"/>
      <c r="M14">
        <f>SUM(L9:L13)</f>
        <v>7.1154353799312314E-2</v>
      </c>
    </row>
    <row r="15" spans="4:13" x14ac:dyDescent="0.3">
      <c r="D15" s="24"/>
      <c r="E15" s="24"/>
    </row>
    <row r="17" spans="3:4" x14ac:dyDescent="0.3">
      <c r="C17" t="s">
        <v>26</v>
      </c>
      <c r="D17" t="s">
        <v>27</v>
      </c>
    </row>
    <row r="18" spans="3:4" x14ac:dyDescent="0.3">
      <c r="C18">
        <v>1.18</v>
      </c>
      <c r="D18">
        <v>1.2999999999999999E-2</v>
      </c>
    </row>
    <row r="19" spans="3:4" x14ac:dyDescent="0.3">
      <c r="C19">
        <v>0.96199999999999997</v>
      </c>
      <c r="D19">
        <v>2.64E-2</v>
      </c>
    </row>
    <row r="20" spans="3:4" x14ac:dyDescent="0.3">
      <c r="C20">
        <v>0.82899999999999996</v>
      </c>
      <c r="D20">
        <v>5.5599999999999997E-2</v>
      </c>
    </row>
    <row r="21" spans="3:4" x14ac:dyDescent="0.3">
      <c r="C21">
        <v>0.71299999999999997</v>
      </c>
      <c r="D21">
        <v>1.7500000000000002E-2</v>
      </c>
    </row>
    <row r="22" spans="3:4" x14ac:dyDescent="0.3">
      <c r="C22">
        <v>0.54300000000000004</v>
      </c>
      <c r="D22">
        <v>5.8599999999999998E-3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4</vt:i4>
      </vt:variant>
      <vt:variant>
        <vt:lpstr>Intervalos com Nome</vt:lpstr>
      </vt:variant>
      <vt:variant>
        <vt:i4>7</vt:i4>
      </vt:variant>
    </vt:vector>
  </HeadingPairs>
  <TitlesOfParts>
    <vt:vector size="11" baseType="lpstr">
      <vt:lpstr>Calculo Previo de Frequencias</vt:lpstr>
      <vt:lpstr>Regime Livre</vt:lpstr>
      <vt:lpstr>Regime Amortecido</vt:lpstr>
      <vt:lpstr>Regime Forçado</vt:lpstr>
      <vt:lpstr>Amp</vt:lpstr>
      <vt:lpstr>Amp___mm</vt:lpstr>
      <vt:lpstr>fa___Hz</vt:lpstr>
      <vt:lpstr>Fase</vt:lpstr>
      <vt:lpstr>MODELO</vt:lpstr>
      <vt:lpstr>T</vt:lpstr>
      <vt:lpstr>Tau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2023-03-07T10:40:18Z</dcterms:modified>
</cp:coreProperties>
</file>