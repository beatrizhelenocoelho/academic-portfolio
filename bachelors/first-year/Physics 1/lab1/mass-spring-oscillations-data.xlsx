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filterPrivacy="1" defaultThemeVersion="124226"/>
  <xr:revisionPtr revIDLastSave="0" documentId="8_{4233DAF6-BC39-4D10-82FC-22D101E2A59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alculo Previo de Frequencias" sheetId="3" r:id="rId1"/>
    <sheet name="Regime Livre" sheetId="4" r:id="rId2"/>
    <sheet name="Regime Amortecido" sheetId="6" r:id="rId3"/>
    <sheet name="Regime Forçado" sheetId="5" r:id="rId4"/>
  </sheets>
  <definedNames>
    <definedName name="Amp">'Regime Amortecido'!$B$2</definedName>
    <definedName name="Fase">'Regime Amortecido'!$B$4</definedName>
    <definedName name="T">'Regime Amortecido'!$B$3</definedName>
    <definedName name="Tau">'Regime Amortecido'!$B$5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6" l="1"/>
  <c r="G8" i="6"/>
  <c r="G9" i="6"/>
  <c r="G10" i="6"/>
  <c r="G11" i="6"/>
  <c r="G12" i="6"/>
  <c r="G13" i="6"/>
  <c r="G14" i="6"/>
  <c r="G15" i="6"/>
  <c r="G16" i="6"/>
  <c r="F6" i="6"/>
  <c r="G6" i="6" s="1"/>
  <c r="F5" i="6"/>
  <c r="G5" i="6" s="1"/>
  <c r="H5" i="6" l="1"/>
</calcChain>
</file>

<file path=xl/sharedStrings.xml><?xml version="1.0" encoding="utf-8"?>
<sst xmlns="http://schemas.openxmlformats.org/spreadsheetml/2006/main" count="35" uniqueCount="28">
  <si>
    <r>
      <rPr>
        <b/>
        <i/>
        <sz val="11"/>
        <color theme="1"/>
        <rFont val="Calibri"/>
        <family val="2"/>
        <scheme val="minor"/>
      </rPr>
      <t>m /</t>
    </r>
    <r>
      <rPr>
        <b/>
        <sz val="11"/>
        <color theme="1"/>
        <rFont val="Calibri"/>
        <family val="2"/>
        <scheme val="minor"/>
      </rPr>
      <t xml:space="preserve"> g</t>
    </r>
  </si>
  <si>
    <r>
      <t xml:space="preserve"> </t>
    </r>
    <r>
      <rPr>
        <b/>
        <i/>
        <sz val="11"/>
        <color theme="1"/>
        <rFont val="Calibri"/>
        <family val="2"/>
        <scheme val="minor"/>
      </rPr>
      <t>K</t>
    </r>
    <r>
      <rPr>
        <b/>
        <sz val="11"/>
        <color theme="1"/>
        <rFont val="Calibri"/>
        <family val="2"/>
        <scheme val="minor"/>
      </rPr>
      <t xml:space="preserve"> / Nm</t>
    </r>
    <r>
      <rPr>
        <b/>
        <vertAlign val="superscript"/>
        <sz val="11"/>
        <color theme="1"/>
        <rFont val="Calibri"/>
        <family val="2"/>
        <scheme val="minor"/>
      </rPr>
      <t>-1</t>
    </r>
  </si>
  <si>
    <r>
      <t xml:space="preserve">m1 </t>
    </r>
    <r>
      <rPr>
        <sz val="12"/>
        <color theme="1"/>
        <rFont val="Calibri"/>
        <family val="2"/>
        <scheme val="minor"/>
      </rPr>
      <t>e</t>
    </r>
    <r>
      <rPr>
        <i/>
        <sz val="12"/>
        <color theme="1"/>
        <rFont val="Calibri"/>
        <family val="2"/>
        <scheme val="minor"/>
      </rPr>
      <t xml:space="preserve"> m2 </t>
    </r>
    <r>
      <rPr>
        <sz val="12"/>
        <color theme="1"/>
        <rFont val="Calibri"/>
        <family val="2"/>
        <scheme val="minor"/>
      </rPr>
      <t>a partir dos dados experimentais</t>
    </r>
  </si>
  <si>
    <r>
      <t xml:space="preserve">Valor dos períodos e frequências próprias  para as molas </t>
    </r>
    <r>
      <rPr>
        <i/>
        <sz val="11"/>
        <color theme="1"/>
        <rFont val="Calibri"/>
        <family val="2"/>
        <scheme val="minor"/>
      </rPr>
      <t>k</t>
    </r>
    <r>
      <rPr>
        <i/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e </t>
    </r>
    <r>
      <rPr>
        <i/>
        <sz val="11"/>
        <color theme="1"/>
        <rFont val="Calibri"/>
        <family val="2"/>
        <scheme val="minor"/>
      </rPr>
      <t>k</t>
    </r>
    <r>
      <rPr>
        <i/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</t>
    </r>
  </si>
  <si>
    <r>
      <t>T</t>
    </r>
    <r>
      <rPr>
        <b/>
        <i/>
        <vertAlign val="subscript"/>
        <sz val="11"/>
        <color theme="1"/>
        <rFont val="Calibri"/>
        <family val="2"/>
        <scheme val="minor"/>
      </rPr>
      <t>0</t>
    </r>
    <r>
      <rPr>
        <b/>
        <i/>
        <vertAlign val="superscript"/>
        <sz val="11"/>
        <color theme="1"/>
        <rFont val="Calibri"/>
        <family val="2"/>
        <scheme val="minor"/>
      </rPr>
      <t xml:space="preserve">exp </t>
    </r>
    <r>
      <rPr>
        <b/>
        <i/>
        <sz val="11"/>
        <color theme="1"/>
        <rFont val="Calibri"/>
        <family val="2"/>
        <scheme val="minor"/>
      </rPr>
      <t>/ s</t>
    </r>
  </si>
  <si>
    <r>
      <t>f</t>
    </r>
    <r>
      <rPr>
        <b/>
        <i/>
        <vertAlign val="subscript"/>
        <sz val="11"/>
        <color theme="1"/>
        <rFont val="Calibri"/>
        <family val="2"/>
        <scheme val="minor"/>
      </rPr>
      <t>0</t>
    </r>
    <r>
      <rPr>
        <b/>
        <i/>
        <vertAlign val="superscript"/>
        <sz val="11"/>
        <color theme="1"/>
        <rFont val="Calibri"/>
        <family val="2"/>
        <scheme val="minor"/>
      </rPr>
      <t xml:space="preserve">exp </t>
    </r>
    <r>
      <rPr>
        <b/>
        <i/>
        <sz val="11"/>
        <color theme="1"/>
        <rFont val="Calibri"/>
        <family val="2"/>
        <scheme val="minor"/>
      </rPr>
      <t>/ Hz</t>
    </r>
  </si>
  <si>
    <r>
      <t>f</t>
    </r>
    <r>
      <rPr>
        <b/>
        <i/>
        <vertAlign val="subscript"/>
        <sz val="11"/>
        <color theme="1"/>
        <rFont val="Calibri"/>
        <family val="2"/>
        <scheme val="minor"/>
      </rPr>
      <t>0</t>
    </r>
    <r>
      <rPr>
        <b/>
        <i/>
        <vertAlign val="superscript"/>
        <sz val="11"/>
        <color theme="1"/>
        <rFont val="Calibri"/>
        <family val="2"/>
        <scheme val="minor"/>
      </rPr>
      <t xml:space="preserve">teor </t>
    </r>
    <r>
      <rPr>
        <b/>
        <i/>
        <sz val="11"/>
        <color theme="1"/>
        <rFont val="Calibri"/>
        <family val="2"/>
        <scheme val="minor"/>
      </rPr>
      <t>/ Hz</t>
    </r>
  </si>
  <si>
    <r>
      <t>T</t>
    </r>
    <r>
      <rPr>
        <b/>
        <i/>
        <vertAlign val="subscript"/>
        <sz val="11"/>
        <color theme="1"/>
        <rFont val="Calibri"/>
        <family val="2"/>
        <scheme val="minor"/>
      </rPr>
      <t>0</t>
    </r>
    <r>
      <rPr>
        <b/>
        <i/>
        <vertAlign val="superscript"/>
        <sz val="11"/>
        <color theme="1"/>
        <rFont val="Calibri"/>
        <family val="2"/>
        <scheme val="minor"/>
      </rPr>
      <t xml:space="preserve">teor </t>
    </r>
    <r>
      <rPr>
        <b/>
        <i/>
        <sz val="11"/>
        <color theme="1"/>
        <rFont val="Calibri"/>
        <family val="2"/>
        <scheme val="minor"/>
      </rPr>
      <t>/ s</t>
    </r>
  </si>
  <si>
    <t>(medir na balança)</t>
  </si>
  <si>
    <r>
      <rPr>
        <b/>
        <i/>
        <sz val="11"/>
        <color theme="1"/>
        <rFont val="Calibri"/>
        <family val="2"/>
        <scheme val="minor"/>
      </rPr>
      <t>Tempo</t>
    </r>
    <r>
      <rPr>
        <b/>
        <sz val="11"/>
        <color theme="1"/>
        <rFont val="Calibri"/>
        <family val="2"/>
        <scheme val="minor"/>
      </rPr>
      <t xml:space="preserve"> /s </t>
    </r>
  </si>
  <si>
    <t>…</t>
  </si>
  <si>
    <t xml:space="preserve">Tabela de valores Cinéris </t>
  </si>
  <si>
    <t>Modelo</t>
  </si>
  <si>
    <t>Diferença</t>
  </si>
  <si>
    <t>Parametro</t>
  </si>
  <si>
    <t>A0</t>
  </si>
  <si>
    <t>(Graficos e Ajustes)</t>
  </si>
  <si>
    <t>Valor Inicial (guess)</t>
  </si>
  <si>
    <t>Periodo</t>
  </si>
  <si>
    <t>Fase</t>
  </si>
  <si>
    <t>Tau</t>
  </si>
  <si>
    <t>A preencher antes da sessão de Laboratório</t>
  </si>
  <si>
    <t xml:space="preserve"> Amp / mm</t>
  </si>
  <si>
    <r>
      <t xml:space="preserve">  f</t>
    </r>
    <r>
      <rPr>
        <b/>
        <i/>
        <vertAlign val="subscript"/>
        <sz val="11"/>
        <color theme="1"/>
        <rFont val="Calibri"/>
        <family val="2"/>
        <scheme val="minor"/>
      </rPr>
      <t>a</t>
    </r>
    <r>
      <rPr>
        <b/>
        <i/>
        <sz val="11"/>
        <color theme="1"/>
        <rFont val="Calibri"/>
        <family val="2"/>
        <scheme val="minor"/>
      </rPr>
      <t xml:space="preserve"> / Hz</t>
    </r>
  </si>
  <si>
    <r>
      <rPr>
        <b/>
        <i/>
        <sz val="11"/>
        <color theme="1"/>
        <rFont val="Calibri"/>
        <family val="2"/>
        <scheme val="minor"/>
      </rPr>
      <t>Y(s)</t>
    </r>
    <r>
      <rPr>
        <b/>
        <sz val="11"/>
        <color theme="1"/>
        <rFont val="Calibri"/>
        <family val="2"/>
        <scheme val="minor"/>
      </rPr>
      <t xml:space="preserve"> / m</t>
    </r>
  </si>
  <si>
    <t>Somatorio Difs</t>
  </si>
  <si>
    <t>K1</t>
  </si>
  <si>
    <t>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</si>
</sst>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i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vertAlign val="subscript"/>
      <sz val="11"/>
      <color theme="1"/>
      <name val="Calibri"/>
      <family val="2"/>
      <scheme val="minor"/>
    </font>
    <font>
      <b/>
      <i/>
      <vertAlign val="subscript"/>
      <sz val="11"/>
      <color theme="1"/>
      <name val="Calibri"/>
      <family val="2"/>
      <scheme val="minor"/>
    </font>
    <font>
      <b/>
      <i/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6" fillId="0" borderId="0" xfId="0" applyFont="1"/>
    <xf numFmtId="0" fontId="5" fillId="0" borderId="0" xfId="0" applyFont="1"/>
    <xf numFmtId="0" fontId="2" fillId="0" borderId="0" xfId="0" applyFont="1"/>
    <xf numFmtId="0" fontId="0" fillId="0" borderId="2" xfId="0" applyBorder="1"/>
    <xf numFmtId="0" fontId="1" fillId="0" borderId="3" xfId="0" applyFont="1" applyBorder="1"/>
    <xf numFmtId="0" fontId="1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0" borderId="2" xfId="0" applyFont="1" applyBorder="1" applyAlignment="1">
      <alignment wrapText="1"/>
    </xf>
    <xf numFmtId="0" fontId="2" fillId="0" borderId="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8" xfId="0" applyFont="1" applyBorder="1"/>
    <xf numFmtId="0" fontId="0" fillId="0" borderId="1" xfId="0" applyBorder="1" applyAlignment="1">
      <alignment horizont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2"/>
  <sheetViews>
    <sheetView workbookViewId="0">
      <selection activeCell="E8" sqref="E8"/>
    </sheetView>
  </sheetViews>
  <sheetFormatPr defaultRowHeight="14.4" x14ac:dyDescent="0.3"/>
  <cols>
    <col min="2" max="2" width="6.44140625" customWidth="1"/>
    <col min="4" max="4" width="12.5546875" customWidth="1"/>
    <col min="5" max="5" width="13.109375" customWidth="1"/>
  </cols>
  <sheetData>
    <row r="2" spans="2:11" x14ac:dyDescent="0.3">
      <c r="B2" s="1" t="s">
        <v>21</v>
      </c>
    </row>
    <row r="4" spans="2:11" ht="20.25" customHeight="1" thickBot="1" x14ac:dyDescent="0.35"/>
    <row r="5" spans="2:11" ht="25.5" customHeight="1" thickBot="1" x14ac:dyDescent="0.4">
      <c r="B5" s="8" t="s">
        <v>0</v>
      </c>
      <c r="C5" s="9" t="s">
        <v>1</v>
      </c>
      <c r="D5" s="10" t="s">
        <v>7</v>
      </c>
      <c r="E5" s="11" t="s">
        <v>6</v>
      </c>
    </row>
    <row r="6" spans="2:11" ht="20.25" customHeight="1" x14ac:dyDescent="0.3">
      <c r="B6" s="7">
        <v>150</v>
      </c>
      <c r="C6" s="7">
        <v>20</v>
      </c>
      <c r="D6" s="7">
        <v>0.54400000000000004</v>
      </c>
      <c r="E6" s="7">
        <v>1.84</v>
      </c>
    </row>
    <row r="7" spans="2:11" ht="20.25" customHeight="1" x14ac:dyDescent="0.3">
      <c r="B7" s="2">
        <v>150</v>
      </c>
      <c r="C7" s="2">
        <v>10</v>
      </c>
      <c r="D7" s="2">
        <v>0.76900000000000002</v>
      </c>
      <c r="E7" s="2">
        <v>1.3</v>
      </c>
    </row>
    <row r="8" spans="2:11" ht="20.25" customHeight="1" x14ac:dyDescent="0.3">
      <c r="B8" s="2">
        <v>200</v>
      </c>
      <c r="C8" s="2">
        <v>10</v>
      </c>
      <c r="D8" s="2">
        <v>0.88800000000000001</v>
      </c>
      <c r="E8" s="2">
        <v>1.26</v>
      </c>
    </row>
    <row r="12" spans="2:11" x14ac:dyDescent="0.3">
      <c r="K12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10"/>
  <sheetViews>
    <sheetView tabSelected="1" workbookViewId="0">
      <selection activeCell="E10" sqref="E10"/>
    </sheetView>
  </sheetViews>
  <sheetFormatPr defaultRowHeight="14.4" x14ac:dyDescent="0.3"/>
  <sheetData>
    <row r="2" spans="1:9" ht="15.6" x14ac:dyDescent="0.35">
      <c r="B2" t="s">
        <v>3</v>
      </c>
    </row>
    <row r="3" spans="1:9" ht="15.6" x14ac:dyDescent="0.3">
      <c r="B3" s="4" t="s">
        <v>2</v>
      </c>
    </row>
    <row r="4" spans="1:9" ht="15" thickBot="1" x14ac:dyDescent="0.35">
      <c r="I4" s="5"/>
    </row>
    <row r="5" spans="1:9" s="1" customFormat="1" ht="21" customHeight="1" thickBot="1" x14ac:dyDescent="0.4">
      <c r="B5" s="15" t="s">
        <v>0</v>
      </c>
      <c r="C5" s="16" t="s">
        <v>1</v>
      </c>
      <c r="D5" s="17" t="s">
        <v>4</v>
      </c>
      <c r="E5" s="18" t="s">
        <v>5</v>
      </c>
    </row>
    <row r="6" spans="1:9" ht="46.8" x14ac:dyDescent="0.3">
      <c r="B6" s="12" t="s">
        <v>8</v>
      </c>
      <c r="C6" s="7">
        <v>20</v>
      </c>
      <c r="D6" s="7"/>
      <c r="E6" s="7"/>
    </row>
    <row r="7" spans="1:9" x14ac:dyDescent="0.3">
      <c r="A7" t="s">
        <v>26</v>
      </c>
      <c r="B7" s="2">
        <v>153.4</v>
      </c>
      <c r="C7" s="2">
        <v>10</v>
      </c>
      <c r="D7" s="2">
        <v>0.80800000000000005</v>
      </c>
      <c r="E7" s="2">
        <v>1.2376</v>
      </c>
    </row>
    <row r="8" spans="1:9" x14ac:dyDescent="0.3">
      <c r="A8" t="s">
        <v>26</v>
      </c>
      <c r="B8" s="2">
        <v>201.6</v>
      </c>
      <c r="C8" s="2">
        <v>10</v>
      </c>
      <c r="D8" s="2">
        <v>0.91800000000000004</v>
      </c>
      <c r="E8" s="2">
        <v>1.0892999999999999</v>
      </c>
    </row>
    <row r="9" spans="1:9" x14ac:dyDescent="0.3">
      <c r="A9" t="s">
        <v>27</v>
      </c>
      <c r="B9">
        <v>153.4</v>
      </c>
      <c r="C9" s="21">
        <v>20</v>
      </c>
      <c r="D9">
        <v>0.56999999999999995</v>
      </c>
      <c r="E9">
        <v>1.7544</v>
      </c>
    </row>
    <row r="10" spans="1:9" x14ac:dyDescent="0.3">
      <c r="A10" t="s">
        <v>27</v>
      </c>
      <c r="B10">
        <v>201.6</v>
      </c>
      <c r="C10" s="21">
        <v>20</v>
      </c>
      <c r="D10">
        <v>0.64800000000000002</v>
      </c>
      <c r="E10">
        <v>1.5431999999999999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7"/>
  <sheetViews>
    <sheetView workbookViewId="0">
      <selection activeCell="G22" sqref="G22"/>
    </sheetView>
  </sheetViews>
  <sheetFormatPr defaultRowHeight="14.4" x14ac:dyDescent="0.3"/>
  <cols>
    <col min="1" max="1" width="10.33203125" bestFit="1" customWidth="1"/>
    <col min="2" max="2" width="18.5546875" bestFit="1" customWidth="1"/>
    <col min="4" max="4" width="9.6640625" bestFit="1" customWidth="1"/>
    <col min="5" max="5" width="9.5546875" customWidth="1"/>
    <col min="6" max="6" width="11.6640625" bestFit="1" customWidth="1"/>
    <col min="7" max="7" width="12" bestFit="1" customWidth="1"/>
    <col min="8" max="8" width="14.109375" bestFit="1" customWidth="1"/>
  </cols>
  <sheetData>
    <row r="1" spans="1:10" x14ac:dyDescent="0.3">
      <c r="A1" s="1" t="s">
        <v>14</v>
      </c>
      <c r="B1" s="1" t="s">
        <v>17</v>
      </c>
    </row>
    <row r="2" spans="1:10" x14ac:dyDescent="0.3">
      <c r="A2" s="3" t="s">
        <v>15</v>
      </c>
      <c r="B2" s="2">
        <v>2.0899999999999998E-2</v>
      </c>
      <c r="D2" t="s">
        <v>11</v>
      </c>
    </row>
    <row r="3" spans="1:10" ht="15" thickBot="1" x14ac:dyDescent="0.35">
      <c r="A3" s="3" t="s">
        <v>18</v>
      </c>
      <c r="B3" s="2">
        <v>0.84499999999999997</v>
      </c>
    </row>
    <row r="4" spans="1:10" ht="15" thickBot="1" x14ac:dyDescent="0.35">
      <c r="A4" s="3" t="s">
        <v>19</v>
      </c>
      <c r="B4" s="2">
        <v>-1.06</v>
      </c>
      <c r="D4" s="8" t="s">
        <v>9</v>
      </c>
      <c r="E4" s="19" t="s">
        <v>24</v>
      </c>
      <c r="F4" s="20" t="s">
        <v>12</v>
      </c>
      <c r="G4" s="2" t="s">
        <v>13</v>
      </c>
      <c r="H4" s="2" t="s">
        <v>25</v>
      </c>
      <c r="J4" t="s">
        <v>16</v>
      </c>
    </row>
    <row r="5" spans="1:10" x14ac:dyDescent="0.3">
      <c r="A5" s="3" t="s">
        <v>20</v>
      </c>
      <c r="B5" s="2">
        <v>6.08</v>
      </c>
      <c r="D5" s="7">
        <v>0</v>
      </c>
      <c r="E5" s="7">
        <v>0.01</v>
      </c>
      <c r="F5">
        <f>Amp*SIN(2*PI()/T*D5+ Fase)*EXP(-D5/Tau)</f>
        <v>-1.8232229581010211E-2</v>
      </c>
      <c r="G5">
        <f>ABS(F5-E5)</f>
        <v>2.823222958101021E-2</v>
      </c>
      <c r="H5">
        <f>SUM(G5:G27)</f>
        <v>0.30353966834274121</v>
      </c>
    </row>
    <row r="6" spans="1:10" x14ac:dyDescent="0.3">
      <c r="D6" s="2">
        <v>0.1</v>
      </c>
      <c r="E6" s="2">
        <v>3.5099999999999999E-2</v>
      </c>
      <c r="F6">
        <f>Amp*SIN(2*PI()/T*D6+ Fase)*EXP(-D6/Tau)</f>
        <v>-6.397438761730977E-3</v>
      </c>
      <c r="G6">
        <f t="shared" ref="G6:G16" si="0">ABS(F6-E6)</f>
        <v>4.1497438761730975E-2</v>
      </c>
    </row>
    <row r="7" spans="1:10" x14ac:dyDescent="0.3">
      <c r="D7" s="7">
        <v>0.2</v>
      </c>
      <c r="E7" s="2">
        <v>5.11E-2</v>
      </c>
      <c r="G7">
        <f t="shared" si="0"/>
        <v>5.11E-2</v>
      </c>
    </row>
    <row r="8" spans="1:10" x14ac:dyDescent="0.3">
      <c r="D8" s="2">
        <v>0.3</v>
      </c>
      <c r="E8" s="2">
        <v>6.1420000000000002E-2</v>
      </c>
      <c r="G8">
        <f t="shared" si="0"/>
        <v>6.1420000000000002E-2</v>
      </c>
    </row>
    <row r="9" spans="1:10" x14ac:dyDescent="0.3">
      <c r="D9" s="7">
        <v>0.4</v>
      </c>
      <c r="E9" s="2"/>
      <c r="G9">
        <f t="shared" si="0"/>
        <v>0</v>
      </c>
    </row>
    <row r="10" spans="1:10" x14ac:dyDescent="0.3">
      <c r="D10" s="2">
        <v>0.5</v>
      </c>
      <c r="E10" s="2">
        <v>5.1610000000000003E-2</v>
      </c>
      <c r="G10">
        <f t="shared" si="0"/>
        <v>5.1610000000000003E-2</v>
      </c>
    </row>
    <row r="11" spans="1:10" x14ac:dyDescent="0.3">
      <c r="D11" s="7">
        <v>0.6</v>
      </c>
      <c r="E11" s="2"/>
      <c r="G11">
        <f t="shared" si="0"/>
        <v>0</v>
      </c>
    </row>
    <row r="12" spans="1:10" x14ac:dyDescent="0.3">
      <c r="D12" s="2">
        <v>0.7</v>
      </c>
      <c r="E12" s="2">
        <v>2.581E-2</v>
      </c>
      <c r="G12">
        <f t="shared" si="0"/>
        <v>2.581E-2</v>
      </c>
    </row>
    <row r="13" spans="1:10" x14ac:dyDescent="0.3">
      <c r="D13" s="7">
        <v>0.8</v>
      </c>
      <c r="E13" s="2"/>
      <c r="G13">
        <f t="shared" si="0"/>
        <v>0</v>
      </c>
    </row>
    <row r="14" spans="1:10" x14ac:dyDescent="0.3">
      <c r="D14" s="2">
        <v>0.9</v>
      </c>
      <c r="E14" s="2"/>
      <c r="G14">
        <f t="shared" si="0"/>
        <v>0</v>
      </c>
    </row>
    <row r="15" spans="1:10" x14ac:dyDescent="0.3">
      <c r="D15" s="7">
        <v>1</v>
      </c>
      <c r="E15" s="2">
        <v>4.3869999999999999E-2</v>
      </c>
      <c r="G15">
        <f t="shared" si="0"/>
        <v>4.3869999999999999E-2</v>
      </c>
    </row>
    <row r="16" spans="1:10" x14ac:dyDescent="0.3">
      <c r="D16" s="2">
        <v>1.1000000000000001</v>
      </c>
      <c r="E16" s="2"/>
      <c r="G16">
        <f t="shared" si="0"/>
        <v>0</v>
      </c>
    </row>
    <row r="17" spans="4:5" x14ac:dyDescent="0.3">
      <c r="D17" s="2" t="s">
        <v>10</v>
      </c>
      <c r="E17" s="2"/>
    </row>
    <row r="18" spans="4:5" x14ac:dyDescent="0.3">
      <c r="D18" s="2">
        <v>1.3</v>
      </c>
      <c r="E18" s="2">
        <v>5.3679999999999999E-2</v>
      </c>
    </row>
    <row r="19" spans="4:5" x14ac:dyDescent="0.3">
      <c r="D19" s="2"/>
      <c r="E19" s="2"/>
    </row>
    <row r="20" spans="4:5" x14ac:dyDescent="0.3">
      <c r="D20" s="2">
        <v>1.7</v>
      </c>
      <c r="E20" s="2">
        <v>2.9420000000000002E-2</v>
      </c>
    </row>
    <row r="21" spans="4:5" x14ac:dyDescent="0.3">
      <c r="D21" s="2"/>
      <c r="E21" s="2"/>
    </row>
    <row r="22" spans="4:5" x14ac:dyDescent="0.3">
      <c r="D22" s="2"/>
      <c r="E22" s="2"/>
    </row>
    <row r="23" spans="4:5" x14ac:dyDescent="0.3">
      <c r="D23" s="2"/>
      <c r="E23" s="2"/>
    </row>
    <row r="24" spans="4:5" x14ac:dyDescent="0.3">
      <c r="D24" s="2"/>
      <c r="E24" s="2"/>
    </row>
    <row r="25" spans="4:5" x14ac:dyDescent="0.3">
      <c r="D25" s="2"/>
      <c r="E25" s="2"/>
    </row>
    <row r="26" spans="4:5" x14ac:dyDescent="0.3">
      <c r="D26" s="2"/>
      <c r="E26" s="2"/>
    </row>
    <row r="27" spans="4:5" x14ac:dyDescent="0.3">
      <c r="D27" s="2"/>
      <c r="E27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4:J15"/>
  <sheetViews>
    <sheetView workbookViewId="0">
      <selection activeCell="J13" sqref="J13"/>
    </sheetView>
  </sheetViews>
  <sheetFormatPr defaultRowHeight="14.4" x14ac:dyDescent="0.3"/>
  <cols>
    <col min="5" max="5" width="10.6640625" bestFit="1" customWidth="1"/>
  </cols>
  <sheetData>
    <row r="4" spans="4:10" ht="15" thickBot="1" x14ac:dyDescent="0.35"/>
    <row r="5" spans="4:10" ht="16.2" thickBot="1" x14ac:dyDescent="0.4">
      <c r="D5" s="13" t="s">
        <v>23</v>
      </c>
      <c r="E5" s="14" t="s">
        <v>22</v>
      </c>
      <c r="I5" t="s">
        <v>16</v>
      </c>
    </row>
    <row r="6" spans="4:10" x14ac:dyDescent="0.3">
      <c r="D6" s="7">
        <v>1.1834</v>
      </c>
      <c r="E6" s="7">
        <v>5.0900000000000001E-2</v>
      </c>
    </row>
    <row r="7" spans="4:10" ht="15" thickBot="1" x14ac:dyDescent="0.35">
      <c r="D7" s="2">
        <v>0.84</v>
      </c>
      <c r="E7" s="2">
        <v>0.127</v>
      </c>
    </row>
    <row r="8" spans="4:10" ht="16.2" thickBot="1" x14ac:dyDescent="0.4">
      <c r="D8" s="2">
        <v>1.1538600000000001</v>
      </c>
      <c r="E8" s="2">
        <v>5.0999999999999997E-2</v>
      </c>
      <c r="I8" s="13" t="s">
        <v>23</v>
      </c>
      <c r="J8" s="14" t="s">
        <v>22</v>
      </c>
    </row>
    <row r="9" spans="4:10" x14ac:dyDescent="0.3">
      <c r="D9" s="2">
        <v>1.0417000000000001</v>
      </c>
      <c r="E9" s="2">
        <v>2.6200000000000001E-2</v>
      </c>
      <c r="I9" s="7">
        <v>1.1834</v>
      </c>
      <c r="J9" s="7">
        <v>5.0900000000000001E-2</v>
      </c>
    </row>
    <row r="10" spans="4:10" x14ac:dyDescent="0.3">
      <c r="D10" s="2">
        <v>1.698</v>
      </c>
      <c r="E10" s="2">
        <v>6.2899999999999998E-2</v>
      </c>
      <c r="I10" s="2">
        <v>0.84</v>
      </c>
      <c r="J10" s="2">
        <v>0.127</v>
      </c>
    </row>
    <row r="11" spans="4:10" x14ac:dyDescent="0.3">
      <c r="D11" s="2"/>
      <c r="E11" s="2"/>
      <c r="I11" s="2">
        <v>1.1538600000000001</v>
      </c>
      <c r="J11" s="2">
        <v>5.0999999999999997E-2</v>
      </c>
    </row>
    <row r="12" spans="4:10" x14ac:dyDescent="0.3">
      <c r="D12" s="2"/>
      <c r="E12" s="2"/>
      <c r="I12" s="2">
        <v>1.0417000000000001</v>
      </c>
      <c r="J12" s="2">
        <v>2.6200000000000001E-2</v>
      </c>
    </row>
    <row r="13" spans="4:10" x14ac:dyDescent="0.3">
      <c r="D13" s="2"/>
      <c r="E13" s="2"/>
      <c r="I13" s="2">
        <v>1.698</v>
      </c>
      <c r="J13" s="2">
        <v>6.2899999999999998E-2</v>
      </c>
    </row>
    <row r="14" spans="4:10" x14ac:dyDescent="0.3">
      <c r="D14" s="2"/>
      <c r="E14" s="2"/>
    </row>
    <row r="15" spans="4:10" x14ac:dyDescent="0.3">
      <c r="D15" s="2"/>
      <c r="E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4</vt:i4>
      </vt:variant>
      <vt:variant>
        <vt:lpstr>Intervalos com Nome</vt:lpstr>
      </vt:variant>
      <vt:variant>
        <vt:i4>4</vt:i4>
      </vt:variant>
    </vt:vector>
  </HeadingPairs>
  <TitlesOfParts>
    <vt:vector size="8" baseType="lpstr">
      <vt:lpstr>Calculo Previo de Frequencias</vt:lpstr>
      <vt:lpstr>Regime Livre</vt:lpstr>
      <vt:lpstr>Regime Amortecido</vt:lpstr>
      <vt:lpstr>Regime Forçado</vt:lpstr>
      <vt:lpstr>Amp</vt:lpstr>
      <vt:lpstr>Fase</vt:lpstr>
      <vt:lpstr>T</vt:lpstr>
      <vt:lpstr>Tau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2023-02-28T10:25:46Z</dcterms:modified>
</cp:coreProperties>
</file>