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 filterPrivacy="1"/>
  <mc:AlternateContent xmlns:mc="http://schemas.openxmlformats.org/markup-compatibility/2006">
    <mc:Choice Requires="x15">
      <x15ac:absPath xmlns:x15ac="http://schemas.microsoft.com/office/spreadsheetml/2010/11/ac" url="/Users/carolinabaltazar/Desktop/"/>
    </mc:Choice>
  </mc:AlternateContent>
  <bookViews>
    <workbookView xWindow="0" yWindow="0" windowWidth="28800" windowHeight="18000" activeTab="2"/>
  </bookViews>
  <sheets>
    <sheet name="Medições da Roda de Maxwell" sheetId="3" r:id="rId1"/>
    <sheet name="Tempo de Queda" sheetId="1" r:id="rId2"/>
    <sheet name="Tempo de passagem" sheetId="2" r:id="rId3"/>
  </sheets>
  <definedNames>
    <definedName name="densidade">'Tempo de Queda'!$C$6</definedName>
    <definedName name="densisade2">'Tempo de passagem'!$B$6</definedName>
    <definedName name="inercia">'Tempo de Queda'!$C$6</definedName>
    <definedName name="inercia2">'Tempo de passagem'!$B$6</definedName>
    <definedName name="MASSA">'Medições da Roda de Maxwell'!$B$4</definedName>
    <definedName name="Raio_eixo">'Medições da Roda de Maxwell'!$B$7</definedName>
    <definedName name="solver_adj" localSheetId="2" hidden="1">'Tempo de passagem'!$B$6</definedName>
    <definedName name="solver_adj" localSheetId="1" hidden="1">'Tempo de Queda'!$C$6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" hidden="1">1</definedName>
    <definedName name="solver_itr" localSheetId="2" hidden="1">2147483647</definedName>
    <definedName name="solver_itr" localSheetId="1" hidden="1">2147483647</definedName>
    <definedName name="solver_lin" localSheetId="2" hidden="1">2</definedName>
    <definedName name="solver_lin" localSheetId="1" hidden="1">2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2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0</definedName>
    <definedName name="solver_num" localSheetId="1" hidden="1">0</definedName>
    <definedName name="solver_opt" localSheetId="2" hidden="1">'Tempo de passagem'!$M$6</definedName>
    <definedName name="solver_opt" localSheetId="1" hidden="1">'Tempo de Queda'!$I$6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lx" localSheetId="2" hidden="1">1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2</definedName>
    <definedName name="solver_typ" localSheetId="1" hidden="1">2</definedName>
    <definedName name="solver_val" localSheetId="2" hidden="1">0</definedName>
    <definedName name="solver_val" localSheetId="1" hidden="1">0</definedName>
    <definedName name="solver_ver" localSheetId="2" hidden="1">2</definedName>
    <definedName name="solver_ver" localSheetId="1" hidden="1">2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H8" i="1"/>
  <c r="H9" i="1"/>
  <c r="H10" i="1"/>
  <c r="H11" i="1"/>
  <c r="K8" i="2"/>
  <c r="K9" i="2"/>
  <c r="K10" i="2"/>
  <c r="K11" i="2"/>
  <c r="K7" i="2"/>
  <c r="G8" i="1"/>
  <c r="G9" i="1"/>
  <c r="G10" i="1"/>
  <c r="G11" i="1"/>
  <c r="G7" i="1"/>
  <c r="E11" i="2"/>
  <c r="E10" i="2"/>
  <c r="E9" i="2"/>
  <c r="E8" i="2"/>
  <c r="E7" i="2"/>
  <c r="B21" i="2"/>
  <c r="A8" i="1"/>
  <c r="L7" i="2"/>
  <c r="H7" i="1"/>
  <c r="M6" i="2"/>
  <c r="I6" i="1"/>
</calcChain>
</file>

<file path=xl/sharedStrings.xml><?xml version="1.0" encoding="utf-8"?>
<sst xmlns="http://schemas.openxmlformats.org/spreadsheetml/2006/main" count="39" uniqueCount="28">
  <si>
    <t xml:space="preserve">Valores experimentais </t>
  </si>
  <si>
    <r>
      <t xml:space="preserve">Medição do intervalo de tempo </t>
    </r>
    <r>
      <rPr>
        <b/>
        <sz val="11"/>
        <color theme="1"/>
        <rFont val="Calibri"/>
        <family val="2"/>
      </rPr>
      <t>Δ</t>
    </r>
    <r>
      <rPr>
        <b/>
        <sz val="11"/>
        <color theme="1"/>
        <rFont val="Calibri"/>
        <family val="2"/>
        <scheme val="minor"/>
      </rPr>
      <t xml:space="preserve">t de passagem do eixo da roda </t>
    </r>
  </si>
  <si>
    <t>Y</t>
  </si>
  <si>
    <t>X (tempo)</t>
  </si>
  <si>
    <t>Incluir aqui os Gráficos</t>
  </si>
  <si>
    <t>Modelo</t>
  </si>
  <si>
    <t>beta</t>
  </si>
  <si>
    <t>c</t>
  </si>
  <si>
    <t>Data</t>
  </si>
  <si>
    <t>Turno</t>
  </si>
  <si>
    <t>Grupo</t>
  </si>
  <si>
    <t>Parametros de Ajuste</t>
  </si>
  <si>
    <t>Diferença</t>
  </si>
  <si>
    <t>Soma</t>
  </si>
  <si>
    <t>Medição do Tempo de Queda</t>
  </si>
  <si>
    <r>
      <t xml:space="preserve">(os valores acima são um </t>
    </r>
    <r>
      <rPr>
        <b/>
        <sz val="11"/>
        <color theme="1"/>
        <rFont val="Calibri"/>
        <family val="2"/>
        <scheme val="minor"/>
      </rPr>
      <t>exemplo!)</t>
    </r>
  </si>
  <si>
    <r>
      <t>(Usar os mesmos valores de tempo da experiencia anterior</t>
    </r>
    <r>
      <rPr>
        <b/>
        <sz val="11"/>
        <color theme="1"/>
        <rFont val="Calibri"/>
        <family val="2"/>
        <scheme val="minor"/>
      </rPr>
      <t>)</t>
    </r>
  </si>
  <si>
    <t>Azul - valores experimentais</t>
  </si>
  <si>
    <t xml:space="preserve">Vermelho - modelo </t>
  </si>
  <si>
    <t xml:space="preserve"> v (m/s)</t>
  </si>
  <si>
    <t>Te (N)</t>
  </si>
  <si>
    <r>
      <t xml:space="preserve"> L / s</t>
    </r>
    <r>
      <rPr>
        <sz val="11"/>
        <color theme="1"/>
        <rFont val="Calibri"/>
        <family val="2"/>
        <scheme val="minor"/>
      </rPr>
      <t xml:space="preserve">  </t>
    </r>
  </si>
  <si>
    <t>f (exp)</t>
  </si>
  <si>
    <t>densidade</t>
  </si>
  <si>
    <t>densisade2</t>
  </si>
  <si>
    <t>X (tensao)</t>
  </si>
  <si>
    <t>Y (velocidade) (2*L*f)</t>
  </si>
  <si>
    <t>f (experimental)/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</si>
</sst>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2" borderId="8" xfId="0" applyFont="1" applyFill="1" applyBorder="1"/>
    <xf numFmtId="0" fontId="0" fillId="0" borderId="7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0" fillId="0" borderId="9" xfId="0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2" borderId="9" xfId="0" applyFont="1" applyFill="1" applyBorder="1"/>
    <xf numFmtId="0" fontId="2" fillId="0" borderId="11" xfId="0" applyFont="1" applyBorder="1" applyAlignment="1">
      <alignment horizontal="center" wrapText="1"/>
    </xf>
    <xf numFmtId="0" fontId="0" fillId="0" borderId="1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9" xfId="0" applyFont="1" applyBorder="1"/>
  </cellXfs>
  <cellStyles count="7">
    <cellStyle name="Hiperligação" xfId="1" builtinId="8" hidden="1"/>
    <cellStyle name="Hiperligação" xfId="3" builtinId="8" hidden="1"/>
    <cellStyle name="Hiperligação" xfId="5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Velocidade</a:t>
            </a:r>
            <a:r>
              <a:rPr lang="pt-PT" baseline="0"/>
              <a:t> em função da tensão</a:t>
            </a:r>
            <a:endParaRPr lang="pt-PT"/>
          </a:p>
        </c:rich>
      </c:tx>
      <c:layout>
        <c:manualLayout>
          <c:xMode val="edge"/>
          <c:yMode val="edge"/>
          <c:x val="0.284433122085223"/>
          <c:y val="0.0286804188437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28692925352852"/>
          <c:y val="0.116613665878592"/>
          <c:w val="0.83944356087935"/>
          <c:h val="0.712207108210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Queda'!$E$6</c:f>
              <c:strCache>
                <c:ptCount val="1"/>
                <c:pt idx="0">
                  <c:v> v (m/s)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'Tempo de Queda'!$D$7:$D$16</c:f>
              <c:numCache>
                <c:formatCode>General</c:formatCode>
                <c:ptCount val="10"/>
                <c:pt idx="0">
                  <c:v>9.8</c:v>
                </c:pt>
                <c:pt idx="1">
                  <c:v>19.6</c:v>
                </c:pt>
                <c:pt idx="2">
                  <c:v>29.4</c:v>
                </c:pt>
                <c:pt idx="3">
                  <c:v>39.2</c:v>
                </c:pt>
                <c:pt idx="4">
                  <c:v>49.0</c:v>
                </c:pt>
              </c:numCache>
            </c:numRef>
          </c:xVal>
          <c:yVal>
            <c:numRef>
              <c:f>'Tempo de Queda'!$E$7:$E$16</c:f>
              <c:numCache>
                <c:formatCode>General</c:formatCode>
                <c:ptCount val="10"/>
                <c:pt idx="0">
                  <c:v>68.76</c:v>
                </c:pt>
                <c:pt idx="1">
                  <c:v>104.952</c:v>
                </c:pt>
                <c:pt idx="2">
                  <c:v>134.136</c:v>
                </c:pt>
                <c:pt idx="3">
                  <c:v>152.52</c:v>
                </c:pt>
                <c:pt idx="4">
                  <c:v>171.648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DA-46F2-85DF-DF40DBA3B769}"/>
            </c:ext>
          </c:extLst>
        </c:ser>
        <c:ser>
          <c:idx val="1"/>
          <c:order val="1"/>
          <c:tx>
            <c:strRef>
              <c:f>'Tempo de Queda'!$G$6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Queda'!$D$7:$D$16</c:f>
              <c:numCache>
                <c:formatCode>General</c:formatCode>
                <c:ptCount val="10"/>
                <c:pt idx="0">
                  <c:v>9.8</c:v>
                </c:pt>
                <c:pt idx="1">
                  <c:v>19.6</c:v>
                </c:pt>
                <c:pt idx="2">
                  <c:v>29.4</c:v>
                </c:pt>
                <c:pt idx="3">
                  <c:v>39.2</c:v>
                </c:pt>
                <c:pt idx="4">
                  <c:v>49.0</c:v>
                </c:pt>
              </c:numCache>
            </c:numRef>
          </c:xVal>
          <c:yVal>
            <c:numRef>
              <c:f>'Tempo de Queda'!$G$7:$G$16</c:f>
              <c:numCache>
                <c:formatCode>General</c:formatCode>
                <c:ptCount val="10"/>
                <c:pt idx="0">
                  <c:v>76.26003026286733</c:v>
                </c:pt>
                <c:pt idx="1">
                  <c:v>107.8479690647296</c:v>
                </c:pt>
                <c:pt idx="2">
                  <c:v>132.0862470020263</c:v>
                </c:pt>
                <c:pt idx="3">
                  <c:v>152.5200605257347</c:v>
                </c:pt>
                <c:pt idx="4">
                  <c:v>170.5226116339625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DA-46F2-85DF-DF40DBA3B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648256"/>
        <c:axId val="1854774304"/>
      </c:scatterChart>
      <c:valAx>
        <c:axId val="188964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54774304"/>
        <c:crosses val="autoZero"/>
        <c:crossBetween val="midCat"/>
      </c:valAx>
      <c:valAx>
        <c:axId val="185477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8964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Frequencia</a:t>
            </a:r>
            <a:r>
              <a:rPr lang="pt-PT" baseline="0"/>
              <a:t> em funcao do comprimento da corda</a:t>
            </a:r>
            <a:endParaRPr lang="pt-PT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140695053551407"/>
          <c:y val="0.158435036653585"/>
          <c:w val="0.839043245620476"/>
          <c:h val="0.5739782749953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'Tempo de passagem'!$I$6</c:f>
              <c:strCache>
                <c:ptCount val="1"/>
                <c:pt idx="0">
                  <c:v>f (experimental)/ Hz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'Tempo de passagem'!$D$7:$D$16</c:f>
              <c:numCache>
                <c:formatCode>General</c:formatCode>
                <c:ptCount val="10"/>
                <c:pt idx="0">
                  <c:v>0.6</c:v>
                </c:pt>
                <c:pt idx="1">
                  <c:v>0.55</c:v>
                </c:pt>
                <c:pt idx="2">
                  <c:v>0.5</c:v>
                </c:pt>
                <c:pt idx="3">
                  <c:v>0.45</c:v>
                </c:pt>
                <c:pt idx="4">
                  <c:v>0.4</c:v>
                </c:pt>
              </c:numCache>
            </c:numRef>
          </c:xVal>
          <c:yVal>
            <c:numRef>
              <c:f>'Tempo de passagem'!$I$7:$I$16</c:f>
              <c:numCache>
                <c:formatCode>General</c:formatCode>
                <c:ptCount val="10"/>
                <c:pt idx="0">
                  <c:v>57.3</c:v>
                </c:pt>
                <c:pt idx="1">
                  <c:v>62.86</c:v>
                </c:pt>
                <c:pt idx="2">
                  <c:v>69.1</c:v>
                </c:pt>
                <c:pt idx="3">
                  <c:v>77.3</c:v>
                </c:pt>
                <c:pt idx="4">
                  <c:v>87.3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59F-4D85-BA11-07CB724B31A5}"/>
            </c:ext>
          </c:extLst>
        </c:ser>
        <c:ser>
          <c:idx val="1"/>
          <c:order val="1"/>
          <c:tx>
            <c:strRef>
              <c:f>'Tempo de passagem'!$K$6</c:f>
              <c:strCache>
                <c:ptCount val="1"/>
                <c:pt idx="0">
                  <c:v>Modelo</c:v>
                </c:pt>
              </c:strCache>
            </c:strRef>
          </c:tx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'Tempo de passagem'!$D$7:$D$16</c:f>
              <c:numCache>
                <c:formatCode>General</c:formatCode>
                <c:ptCount val="10"/>
                <c:pt idx="0">
                  <c:v>0.6</c:v>
                </c:pt>
                <c:pt idx="1">
                  <c:v>0.55</c:v>
                </c:pt>
                <c:pt idx="2">
                  <c:v>0.5</c:v>
                </c:pt>
                <c:pt idx="3">
                  <c:v>0.45</c:v>
                </c:pt>
                <c:pt idx="4">
                  <c:v>0.4</c:v>
                </c:pt>
              </c:numCache>
            </c:numRef>
          </c:xVal>
          <c:yVal>
            <c:numRef>
              <c:f>'Tempo de passagem'!$K$7:$K$16</c:f>
              <c:numCache>
                <c:formatCode>General</c:formatCode>
                <c:ptCount val="10"/>
                <c:pt idx="0">
                  <c:v>57.62962493926857</c:v>
                </c:pt>
                <c:pt idx="1">
                  <c:v>62.86868175192934</c:v>
                </c:pt>
                <c:pt idx="2">
                  <c:v>69.15554992712228</c:v>
                </c:pt>
                <c:pt idx="3">
                  <c:v>76.83949991902476</c:v>
                </c:pt>
                <c:pt idx="4">
                  <c:v>86.44443740890284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59F-4D85-BA11-07CB724B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662208"/>
        <c:axId val="1868296944"/>
      </c:scatterChart>
      <c:valAx>
        <c:axId val="186366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8296944"/>
        <c:crosses val="autoZero"/>
        <c:crossBetween val="midCat"/>
      </c:valAx>
      <c:valAx>
        <c:axId val="18682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366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534866</xdr:colOff>
      <xdr:row>5</xdr:row>
      <xdr:rowOff>134549</xdr:rowOff>
    </xdr:from>
    <xdr:to>
      <xdr:col>20</xdr:col>
      <xdr:colOff>384983</xdr:colOff>
      <xdr:row>22</xdr:row>
      <xdr:rowOff>9606</xdr:rowOff>
    </xdr:to>
    <xdr:grpSp>
      <xdr:nvGrpSpPr>
        <xdr:cNvPr id="19" name="Grupo 18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GrpSpPr/>
      </xdr:nvGrpSpPr>
      <xdr:grpSpPr>
        <a:xfrm>
          <a:off x="8374999" y="1192882"/>
          <a:ext cx="5793717" cy="3278657"/>
          <a:chOff x="6573028" y="1074207"/>
          <a:chExt cx="6225560" cy="3603720"/>
        </a:xfrm>
      </xdr:grpSpPr>
      <xdr:graphicFrame macro="">
        <xdr:nvGraphicFramePr>
          <xdr:cNvPr id="17" name="Gráfico 16">
            <a:extLst>
              <a:ext uri="{FF2B5EF4-FFF2-40B4-BE49-F238E27FC236}">
                <a16:creationId xmlns="" xmlns:a16="http://schemas.microsoft.com/office/drawing/2014/main" id="{00000000-0008-0000-0100-000011000000}"/>
              </a:ext>
            </a:extLst>
          </xdr:cNvPr>
          <xdr:cNvGraphicFramePr/>
        </xdr:nvGraphicFramePr>
        <xdr:xfrm>
          <a:off x="6573028" y="1074207"/>
          <a:ext cx="6225560" cy="36037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3" name="CaixaDeTexto 12">
            <a:extLst>
              <a:ext uri="{FF2B5EF4-FFF2-40B4-BE49-F238E27FC236}">
                <a16:creationId xmlns=""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1410758" y="4286290"/>
            <a:ext cx="1201896" cy="25930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Te(N)</a:t>
            </a: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600074" y="1102704"/>
            <a:ext cx="639079" cy="3574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 baseline="0"/>
              <a:t>v(m/s)</a:t>
            </a:r>
            <a:endParaRPr lang="pt-P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476015</xdr:colOff>
      <xdr:row>7</xdr:row>
      <xdr:rowOff>19397</xdr:rowOff>
    </xdr:from>
    <xdr:to>
      <xdr:col>28</xdr:col>
      <xdr:colOff>557974</xdr:colOff>
      <xdr:row>22</xdr:row>
      <xdr:rowOff>30504</xdr:rowOff>
    </xdr:to>
    <xdr:grpSp>
      <xdr:nvGrpSpPr>
        <xdr:cNvPr id="7" name="Grupo 6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9472656" y="1425122"/>
          <a:ext cx="11327761" cy="2919504"/>
          <a:chOff x="4076612" y="1580885"/>
          <a:chExt cx="11702453" cy="3144119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GraphicFramePr/>
        </xdr:nvGraphicFramePr>
        <xdr:xfrm>
          <a:off x="4076612" y="1580885"/>
          <a:ext cx="6523597" cy="31441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CaixaDeTexto 4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SpPr txBox="1"/>
        </xdr:nvSpPr>
        <xdr:spPr>
          <a:xfrm>
            <a:off x="9904844" y="4141685"/>
            <a:ext cx="625381" cy="31978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L(m)</a:t>
            </a:r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5395324" y="3679163"/>
            <a:ext cx="383741" cy="30151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pt-PT" sz="1100"/>
              <a:t>t(s)</a:t>
            </a:r>
          </a:p>
        </xdr:txBody>
      </xdr:sp>
    </xdr:grpSp>
    <xdr:clientData/>
  </xdr:twoCellAnchor>
  <xdr:twoCellAnchor>
    <xdr:from>
      <xdr:col>13</xdr:col>
      <xdr:colOff>366375</xdr:colOff>
      <xdr:row>23</xdr:row>
      <xdr:rowOff>8466</xdr:rowOff>
    </xdr:from>
    <xdr:to>
      <xdr:col>14</xdr:col>
      <xdr:colOff>472594</xdr:colOff>
      <xdr:row>27</xdr:row>
      <xdr:rowOff>183957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CC92826-950B-DC52-16DF-95EAAF09CE66}"/>
            </a:ext>
          </a:extLst>
        </xdr:cNvPr>
        <xdr:cNvSpPr txBox="1"/>
      </xdr:nvSpPr>
      <xdr:spPr>
        <a:xfrm>
          <a:off x="9117830" y="4295678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  <xdr:twoCellAnchor>
    <xdr:from>
      <xdr:col>12</xdr:col>
      <xdr:colOff>541143</xdr:colOff>
      <xdr:row>7</xdr:row>
      <xdr:rowOff>95380</xdr:rowOff>
    </xdr:from>
    <xdr:to>
      <xdr:col>13</xdr:col>
      <xdr:colOff>486086</xdr:colOff>
      <xdr:row>9</xdr:row>
      <xdr:rowOff>3824</xdr:rowOff>
    </xdr:to>
    <xdr:sp macro="" textlink="">
      <xdr:nvSpPr>
        <xdr:cNvPr id="13" name="CaixaDeTexto 1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561399" y="1506491"/>
          <a:ext cx="607080" cy="2992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PT" sz="1100"/>
            <a:t>f(Hz)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4" sqref="C4:E5"/>
    </sheetView>
  </sheetViews>
  <sheetFormatPr baseColWidth="10" defaultColWidth="8.6640625" defaultRowHeight="15" x14ac:dyDescent="0.2"/>
  <cols>
    <col min="1" max="1" width="12" bestFit="1" customWidth="1"/>
    <col min="2" max="2" width="14.33203125" customWidth="1"/>
  </cols>
  <sheetData>
    <row r="1" spans="1:3" x14ac:dyDescent="0.2">
      <c r="A1" s="8" t="s">
        <v>8</v>
      </c>
      <c r="B1" s="9" t="s">
        <v>9</v>
      </c>
      <c r="C1" s="10" t="s">
        <v>10</v>
      </c>
    </row>
    <row r="2" spans="1:3" ht="16" thickBot="1" x14ac:dyDescent="0.25">
      <c r="A2" s="4"/>
      <c r="B2" s="5"/>
      <c r="C2" s="7"/>
    </row>
    <row r="4" spans="1:3" x14ac:dyDescent="0.2">
      <c r="A4" s="1"/>
      <c r="B4" s="3"/>
    </row>
    <row r="5" spans="1:3" x14ac:dyDescent="0.2">
      <c r="A5" s="1"/>
      <c r="B5" s="3"/>
    </row>
    <row r="6" spans="1:3" x14ac:dyDescent="0.2">
      <c r="A6" s="1"/>
      <c r="B6" s="3"/>
    </row>
    <row r="7" spans="1:3" x14ac:dyDescent="0.2">
      <c r="A7" s="1"/>
      <c r="B7" s="3"/>
    </row>
    <row r="8" spans="1:3" x14ac:dyDescent="0.2">
      <c r="A8" s="1"/>
    </row>
    <row r="9" spans="1:3" x14ac:dyDescent="0.2">
      <c r="A9" s="1"/>
      <c r="B9" s="3"/>
    </row>
    <row r="10" spans="1:3" x14ac:dyDescent="0.2">
      <c r="B1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B1" zoomScale="150" zoomScaleNormal="159" workbookViewId="0">
      <selection activeCell="I6" sqref="I6"/>
    </sheetView>
  </sheetViews>
  <sheetFormatPr baseColWidth="10" defaultColWidth="8.6640625" defaultRowHeight="15" x14ac:dyDescent="0.2"/>
  <cols>
    <col min="4" max="4" width="9.6640625" bestFit="1" customWidth="1"/>
    <col min="6" max="6" width="15.1640625" customWidth="1"/>
  </cols>
  <sheetData>
    <row r="1" spans="1:11" ht="21" x14ac:dyDescent="0.25">
      <c r="A1" s="1" t="s">
        <v>11</v>
      </c>
      <c r="D1" s="11" t="s">
        <v>14</v>
      </c>
    </row>
    <row r="2" spans="1:11" x14ac:dyDescent="0.2">
      <c r="A2" s="1" t="s">
        <v>6</v>
      </c>
      <c r="B2">
        <v>2</v>
      </c>
    </row>
    <row r="3" spans="1:11" s="1" customFormat="1" x14ac:dyDescent="0.2">
      <c r="A3" s="1" t="s">
        <v>7</v>
      </c>
      <c r="B3" s="1">
        <v>0</v>
      </c>
      <c r="D3" s="24" t="s">
        <v>0</v>
      </c>
      <c r="E3" s="25"/>
      <c r="F3" s="25"/>
    </row>
    <row r="5" spans="1:11" ht="16" thickBot="1" x14ac:dyDescent="0.25">
      <c r="C5" t="s">
        <v>23</v>
      </c>
      <c r="D5" s="2" t="s">
        <v>25</v>
      </c>
      <c r="E5" s="2" t="s">
        <v>26</v>
      </c>
      <c r="I5" s="2" t="s">
        <v>13</v>
      </c>
      <c r="K5" t="s">
        <v>4</v>
      </c>
    </row>
    <row r="6" spans="1:11" s="2" customFormat="1" ht="16" thickBot="1" x14ac:dyDescent="0.25">
      <c r="C6" s="2">
        <v>1.68512502880697E-3</v>
      </c>
      <c r="D6" s="14" t="s">
        <v>20</v>
      </c>
      <c r="E6" s="15" t="s">
        <v>19</v>
      </c>
      <c r="F6" s="15"/>
      <c r="G6" s="15" t="s">
        <v>5</v>
      </c>
      <c r="H6" s="17" t="s">
        <v>12</v>
      </c>
      <c r="I6" s="16">
        <f>SUM(H7:H16)</f>
        <v>13.571201217342747</v>
      </c>
    </row>
    <row r="7" spans="1:11" ht="16" thickBot="1" x14ac:dyDescent="0.25">
      <c r="D7" s="21">
        <v>9.8000000000000007</v>
      </c>
      <c r="E7" s="13">
        <v>68.760000000000005</v>
      </c>
      <c r="F7" s="22"/>
      <c r="G7" s="13">
        <f>SQRT(D7/densidade)</f>
        <v>76.260030262867332</v>
      </c>
      <c r="H7" s="3">
        <f>ABS(E7-G7)</f>
        <v>7.5000302628673268</v>
      </c>
      <c r="I7" s="16"/>
    </row>
    <row r="8" spans="1:11" ht="16" thickBot="1" x14ac:dyDescent="0.25">
      <c r="A8">
        <f>(0.5*((0.516*9.8)/(0.516+(inercia/(0.0026*0.0026)))))</f>
        <v>1.0121906019267646E-2</v>
      </c>
      <c r="D8" s="3">
        <v>19.600000000000001</v>
      </c>
      <c r="E8" s="3">
        <v>104.952</v>
      </c>
      <c r="F8" s="6"/>
      <c r="G8" s="13">
        <f>SQRT(D8/densidade)</f>
        <v>107.84796906472964</v>
      </c>
      <c r="H8" s="3">
        <f t="shared" ref="H8:H11" si="0">ABS(E8-G8)</f>
        <v>2.8959690647296412</v>
      </c>
      <c r="I8" s="16"/>
    </row>
    <row r="9" spans="1:11" ht="16" thickBot="1" x14ac:dyDescent="0.25">
      <c r="D9" s="3">
        <v>29.4</v>
      </c>
      <c r="E9" s="3">
        <v>134.136</v>
      </c>
      <c r="F9" s="6"/>
      <c r="G9" s="13">
        <f>SQRT(D9/densidade)</f>
        <v>132.08624700202637</v>
      </c>
      <c r="H9" s="3">
        <f t="shared" si="0"/>
        <v>2.0497529979736271</v>
      </c>
      <c r="I9" s="16"/>
    </row>
    <row r="10" spans="1:11" ht="16" thickBot="1" x14ac:dyDescent="0.25">
      <c r="D10" s="3">
        <v>39.200000000000003</v>
      </c>
      <c r="E10" s="3">
        <v>152.52000000000001</v>
      </c>
      <c r="F10" s="6"/>
      <c r="G10" s="13">
        <f>SQRT(D10/densidade)</f>
        <v>152.52006052573466</v>
      </c>
      <c r="H10" s="3">
        <f t="shared" si="0"/>
        <v>6.0525734653538166E-5</v>
      </c>
      <c r="I10" s="16"/>
    </row>
    <row r="11" spans="1:11" ht="16" thickBot="1" x14ac:dyDescent="0.25">
      <c r="D11" s="3">
        <v>49</v>
      </c>
      <c r="E11" s="3">
        <v>171.648</v>
      </c>
      <c r="F11" s="6"/>
      <c r="G11" s="13">
        <f>SQRT(D11/densidade)</f>
        <v>170.5226116339625</v>
      </c>
      <c r="H11" s="3">
        <f t="shared" si="0"/>
        <v>1.1253883660374981</v>
      </c>
      <c r="I11" s="16"/>
    </row>
    <row r="12" spans="1:11" ht="16" thickBot="1" x14ac:dyDescent="0.25">
      <c r="D12" s="3"/>
      <c r="E12" s="20"/>
      <c r="F12" s="6"/>
      <c r="G12" s="13"/>
      <c r="H12" s="3"/>
      <c r="I12" s="16"/>
    </row>
    <row r="13" spans="1:11" ht="16" thickBot="1" x14ac:dyDescent="0.25">
      <c r="D13" s="3"/>
      <c r="E13" s="3"/>
      <c r="F13" s="6"/>
      <c r="G13" s="13"/>
      <c r="H13" s="3"/>
      <c r="I13" s="16"/>
    </row>
    <row r="14" spans="1:11" ht="16" thickBot="1" x14ac:dyDescent="0.25">
      <c r="D14" s="20"/>
      <c r="E14" s="3"/>
      <c r="F14" s="6"/>
      <c r="G14" s="13"/>
      <c r="H14" s="3"/>
      <c r="I14" s="16"/>
    </row>
    <row r="15" spans="1:11" ht="16" thickBot="1" x14ac:dyDescent="0.25">
      <c r="D15" s="3"/>
      <c r="E15" s="20"/>
      <c r="F15" s="6"/>
      <c r="G15" s="13"/>
      <c r="H15" s="3"/>
      <c r="I15" s="16"/>
    </row>
    <row r="16" spans="1:11" ht="16" thickBot="1" x14ac:dyDescent="0.25">
      <c r="D16" s="3"/>
      <c r="E16" s="3"/>
      <c r="F16" s="6"/>
      <c r="G16" s="13"/>
      <c r="H16" s="3"/>
      <c r="I16" s="16"/>
    </row>
    <row r="17" spans="4:10" x14ac:dyDescent="0.2">
      <c r="D17" s="12" t="s">
        <v>15</v>
      </c>
    </row>
    <row r="26" spans="4:10" x14ac:dyDescent="0.2">
      <c r="J26" t="s">
        <v>17</v>
      </c>
    </row>
    <row r="27" spans="4:10" x14ac:dyDescent="0.2">
      <c r="J27" t="s">
        <v>18</v>
      </c>
    </row>
  </sheetData>
  <mergeCells count="1">
    <mergeCell ref="D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topLeftCell="C2" zoomScale="131" workbookViewId="0">
      <selection activeCell="I8" sqref="I8"/>
    </sheetView>
  </sheetViews>
  <sheetFormatPr baseColWidth="10" defaultColWidth="8.6640625" defaultRowHeight="15" x14ac:dyDescent="0.2"/>
  <cols>
    <col min="6" max="6" width="11.1640625" bestFit="1" customWidth="1"/>
    <col min="8" max="8" width="11.5" bestFit="1" customWidth="1"/>
    <col min="9" max="9" width="13.5" bestFit="1" customWidth="1"/>
    <col min="10" max="10" width="12.6640625" bestFit="1" customWidth="1"/>
    <col min="14" max="14" width="11.6640625" bestFit="1" customWidth="1"/>
    <col min="15" max="16" width="11.6640625" customWidth="1"/>
  </cols>
  <sheetData>
    <row r="1" spans="1:18" x14ac:dyDescent="0.2">
      <c r="A1" s="1" t="s">
        <v>11</v>
      </c>
    </row>
    <row r="2" spans="1:18" x14ac:dyDescent="0.2">
      <c r="A2" s="1" t="s">
        <v>6</v>
      </c>
      <c r="B2">
        <v>-1</v>
      </c>
      <c r="D2" s="1" t="s">
        <v>1</v>
      </c>
    </row>
    <row r="3" spans="1:18" s="1" customFormat="1" x14ac:dyDescent="0.2">
      <c r="A3" s="1" t="s">
        <v>7</v>
      </c>
      <c r="B3" s="1">
        <v>0</v>
      </c>
      <c r="D3" s="1" t="s">
        <v>0</v>
      </c>
    </row>
    <row r="4" spans="1:18" s="1" customFormat="1" x14ac:dyDescent="0.2"/>
    <row r="5" spans="1:18" ht="16" thickBot="1" x14ac:dyDescent="0.25">
      <c r="B5" t="s">
        <v>24</v>
      </c>
      <c r="D5" s="2" t="s">
        <v>3</v>
      </c>
      <c r="E5" s="1"/>
      <c r="F5" s="1"/>
      <c r="G5" s="1"/>
      <c r="H5" s="1"/>
      <c r="I5" s="2" t="s">
        <v>2</v>
      </c>
      <c r="M5" s="2" t="s">
        <v>13</v>
      </c>
    </row>
    <row r="6" spans="1:18" s="2" customFormat="1" ht="18" thickBot="1" x14ac:dyDescent="0.25">
      <c r="B6" s="2">
        <v>2.0491417283344101E-3</v>
      </c>
      <c r="D6" s="19" t="s">
        <v>21</v>
      </c>
      <c r="E6" s="15" t="s">
        <v>22</v>
      </c>
      <c r="F6" s="15"/>
      <c r="G6" s="15"/>
      <c r="H6" s="15"/>
      <c r="I6" s="15" t="s">
        <v>27</v>
      </c>
      <c r="J6" s="15"/>
      <c r="K6" s="15" t="s">
        <v>5</v>
      </c>
      <c r="L6" s="15" t="s">
        <v>12</v>
      </c>
      <c r="M6" s="16">
        <f>SUM(L7:L16)</f>
        <v>1.7099192903925911</v>
      </c>
      <c r="N6" s="23"/>
      <c r="R6" t="s">
        <v>4</v>
      </c>
    </row>
    <row r="7" spans="1:18" x14ac:dyDescent="0.2">
      <c r="D7" s="21">
        <v>0.6</v>
      </c>
      <c r="E7" s="13">
        <f>2*28.65</f>
        <v>57.3</v>
      </c>
      <c r="F7" s="18"/>
      <c r="G7" s="13"/>
      <c r="H7" s="18"/>
      <c r="I7" s="26">
        <v>57.3</v>
      </c>
      <c r="J7" s="18"/>
      <c r="K7" s="13">
        <f>0.5*SQRT(9.8/densisade2)*(1/D7)</f>
        <v>57.629624939268567</v>
      </c>
      <c r="L7">
        <f>ABS(I7-K7)</f>
        <v>0.32962493926856951</v>
      </c>
    </row>
    <row r="8" spans="1:18" x14ac:dyDescent="0.2">
      <c r="D8" s="3">
        <v>0.55000000000000004</v>
      </c>
      <c r="E8" s="3">
        <f>2*31.43</f>
        <v>62.86</v>
      </c>
      <c r="F8" s="18"/>
      <c r="G8" s="3"/>
      <c r="H8" s="18"/>
      <c r="I8" s="26">
        <v>62.86</v>
      </c>
      <c r="J8" s="18"/>
      <c r="K8" s="13">
        <f>0.5*SQRT(9.8/densisade2)*(1/D8)</f>
        <v>62.868681751929344</v>
      </c>
      <c r="L8">
        <f t="shared" ref="L8:L11" si="0">ABS(I8-K8)</f>
        <v>8.6817519293447276E-3</v>
      </c>
    </row>
    <row r="9" spans="1:18" x14ac:dyDescent="0.2">
      <c r="D9" s="3">
        <v>0.5</v>
      </c>
      <c r="E9" s="3">
        <f>2*34.55</f>
        <v>69.099999999999994</v>
      </c>
      <c r="F9" s="18"/>
      <c r="G9" s="3"/>
      <c r="H9" s="18"/>
      <c r="I9" s="26">
        <v>69.099999999999994</v>
      </c>
      <c r="J9" s="18"/>
      <c r="K9" s="13">
        <f>0.5*SQRT(9.8/densisade2)*(1/D9)</f>
        <v>69.15554992712228</v>
      </c>
      <c r="L9">
        <f t="shared" si="0"/>
        <v>5.5549927122285681E-2</v>
      </c>
    </row>
    <row r="10" spans="1:18" x14ac:dyDescent="0.2">
      <c r="D10" s="3">
        <v>0.45</v>
      </c>
      <c r="E10" s="3">
        <f>2*38.65</f>
        <v>77.3</v>
      </c>
      <c r="F10" s="18"/>
      <c r="G10" s="3"/>
      <c r="H10" s="18"/>
      <c r="I10" s="26">
        <v>77.3</v>
      </c>
      <c r="J10" s="18"/>
      <c r="K10" s="13">
        <f>0.5*SQRT(9.8/densisade2)*(1/D10)</f>
        <v>76.83949991902476</v>
      </c>
      <c r="L10">
        <f t="shared" si="0"/>
        <v>0.46050008097523687</v>
      </c>
    </row>
    <row r="11" spans="1:18" x14ac:dyDescent="0.2">
      <c r="D11" s="3">
        <v>0.4</v>
      </c>
      <c r="E11" s="3">
        <f>2*43.65</f>
        <v>87.3</v>
      </c>
      <c r="F11" s="18"/>
      <c r="G11" s="3"/>
      <c r="H11" s="18"/>
      <c r="I11" s="26">
        <v>87.3</v>
      </c>
      <c r="J11" s="18"/>
      <c r="K11" s="13">
        <f>0.5*SQRT(9.8/densisade2)*(1/D11)</f>
        <v>86.444437408902843</v>
      </c>
      <c r="L11">
        <f t="shared" si="0"/>
        <v>0.85556259109715427</v>
      </c>
    </row>
    <row r="12" spans="1:18" x14ac:dyDescent="0.2">
      <c r="D12" s="3"/>
      <c r="E12" s="20"/>
      <c r="F12" s="18"/>
      <c r="G12" s="3"/>
      <c r="H12" s="18"/>
      <c r="I12" s="13"/>
      <c r="J12" s="18"/>
      <c r="K12" s="13"/>
    </row>
    <row r="13" spans="1:18" x14ac:dyDescent="0.2">
      <c r="D13" s="3"/>
      <c r="E13" s="3"/>
      <c r="F13" s="18"/>
      <c r="G13" s="3"/>
      <c r="H13" s="18"/>
      <c r="I13" s="13"/>
      <c r="J13" s="18"/>
      <c r="K13" s="13"/>
    </row>
    <row r="14" spans="1:18" x14ac:dyDescent="0.2">
      <c r="D14" s="20"/>
      <c r="E14" s="3"/>
      <c r="F14" s="18"/>
      <c r="G14" s="3"/>
      <c r="H14" s="18"/>
      <c r="I14" s="13"/>
      <c r="J14" s="18"/>
      <c r="K14" s="13"/>
    </row>
    <row r="15" spans="1:18" x14ac:dyDescent="0.2">
      <c r="D15" s="3"/>
      <c r="E15" s="20"/>
      <c r="F15" s="18"/>
      <c r="G15" s="3"/>
      <c r="H15" s="18"/>
      <c r="I15" s="13"/>
      <c r="J15" s="18"/>
      <c r="K15" s="13"/>
    </row>
    <row r="16" spans="1:18" x14ac:dyDescent="0.2">
      <c r="D16" s="3"/>
      <c r="E16" s="3"/>
      <c r="F16" s="18"/>
      <c r="G16" s="3"/>
      <c r="H16" s="18"/>
      <c r="I16" s="13"/>
      <c r="J16" s="18"/>
      <c r="K16" s="13"/>
    </row>
    <row r="17" spans="2:21" x14ac:dyDescent="0.2">
      <c r="D17" s="12" t="s">
        <v>16</v>
      </c>
    </row>
    <row r="18" spans="2:21" x14ac:dyDescent="0.2">
      <c r="D18" s="12" t="s">
        <v>15</v>
      </c>
    </row>
    <row r="21" spans="2:21" x14ac:dyDescent="0.2">
      <c r="B21">
        <f>((0.516*9.8)/(0.516+(inercia2/(0.0026*0.0026))))</f>
        <v>1.6653741716553833E-2</v>
      </c>
    </row>
    <row r="24" spans="2:21" x14ac:dyDescent="0.2">
      <c r="U24" t="s">
        <v>17</v>
      </c>
    </row>
    <row r="25" spans="2:21" x14ac:dyDescent="0.2">
      <c r="U25" t="s">
        <v>18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Medições da Roda de Maxwell</vt:lpstr>
      <vt:lpstr>Tempo de Queda</vt:lpstr>
      <vt:lpstr>Tempo de passagem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2023-04-11T09:08:13Z</dcterms:modified>
</cp:coreProperties>
</file>